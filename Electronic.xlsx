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EPI\"/>
    </mc:Choice>
  </mc:AlternateContent>
  <xr:revisionPtr revIDLastSave="0" documentId="13_ncr:1_{BFEFBB89-758D-4108-A75E-918F2C34ADD2}" xr6:coauthVersionLast="47" xr6:coauthVersionMax="47" xr10:uidLastSave="{00000000-0000-0000-0000-000000000000}"/>
  <bookViews>
    <workbookView xWindow="-110" yWindow="-110" windowWidth="19420" windowHeight="10420" activeTab="3" xr2:uid="{41F8E252-B6CF-479E-A5D7-FBED4E6394BD}"/>
  </bookViews>
  <sheets>
    <sheet name="Sales_Region" sheetId="3" r:id="rId1"/>
    <sheet name="Raw_Sales_Data" sheetId="2" r:id="rId2"/>
    <sheet name="Analysis" sheetId="7" r:id="rId3"/>
    <sheet name="Dashboard" sheetId="8" r:id="rId4"/>
  </sheets>
  <definedNames>
    <definedName name="_xlcn.WorksheetConnection_Book1Raw_Sales_Data" hidden="1">Raw_Sales_Data[]</definedName>
    <definedName name="_xlcn.WorksheetConnection_Book1Sales_Region" hidden="1">Sales_Region[]</definedName>
    <definedName name="_xlcn.WorksheetConnection_Book1Table4" hidden="1">Table4</definedName>
    <definedName name="_xlcn.WorksheetConnection_Electronic.xlsxTable_ExternalData_1" hidden="1">Table_ExternalData_1</definedName>
    <definedName name="ExternalData_1" localSheetId="1" hidden="1">'Raw_Sales_Data'!$A$1:$I$105</definedName>
    <definedName name="ExternalData_2" localSheetId="0" hidden="1">Sales_Region!$A$1:$A$5</definedName>
    <definedName name="Slicer_Order_Date_new__Year">#N/A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Electronic.xlsx!Table_ExternalData_1"/>
          <x15:modelTable id="Table4" name="Table4" connection="WorksheetConnection_Book1!Table4"/>
          <x15:modelTable id="Sales_Region 1" name="Sales_Region 1" connection="WorksheetConnection_Book1!Sales_Region"/>
          <x15:modelTable id="Raw_Sales_Data" name="Raw_Sales_Data" connection="WorksheetConnection_Book1!Raw_Sales_Data"/>
        </x15:modelTables>
        <x15:modelRelationships>
          <x15:modelRelationship fromTable="Sales_Region 1" fromColumn="Sales_Region" toTable="Raw_Sales_Data" toColumn="Order_ID"/>
        </x15:modelRelationships>
        <x15:extLst>
          <ext xmlns:x16="http://schemas.microsoft.com/office/spreadsheetml/2014/11/main" uri="{9835A34E-60A6-4A7C-AAB8-D5F71C897F49}">
            <x16:modelTimeGroupings>
              <x16:modelTimeGrouping tableName="Raw_Sales_Data" columnName="Order_Date_new" columnId="Order_Date_new">
                <x16:calculatedTimeColumn columnName="Order_Date_new (Year)" columnId="Order_Date_new (Year)" contentType="years" isSelected="1"/>
                <x16:calculatedTimeColumn columnName="Order_Date_new (Quarter)" columnId="Order_Date_new (Quarter)" contentType="quarters" isSelected="1"/>
                <x16:calculatedTimeColumn columnName="Order_Date_new (Month Index)" columnId="Order_Date_new (Month Index)" contentType="monthsindex" isSelected="1"/>
                <x16:calculatedTimeColumn columnName="Order_Date_new (Month)" columnId="Order_Date_new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816E12-656E-4612-8285-8B2EC873E3F5}" keepAlive="1" name="Query - Raw_Sales_Data" description="Connection to the 'Raw_Sales_Data' query in the workbook." type="5" refreshedVersion="7" background="1" saveData="1">
    <dbPr connection="Provider=Microsoft.Mashup.OleDb.1;Data Source=$Workbook$;Location=Raw_Sales_Data;Extended Properties=&quot;&quot;" command="SELECT * FROM [Raw_Sales_Data]"/>
  </connection>
  <connection id="2" xr16:uid="{DDAEC630-FE87-4491-AE56-57997CE1FE2F}" keepAlive="1" name="Query - Sales_Region" description="Connection to the 'Sales_Region' query in the workbook." type="5" refreshedVersion="7" background="1" saveData="1">
    <dbPr connection="Provider=Microsoft.Mashup.OleDb.1;Data Source=$Workbook$;Location=Sales_Region;Extended Properties=&quot;&quot;" command="SELECT * FROM [Sales_Region]"/>
  </connection>
  <connection id="3" xr16:uid="{17280204-D1B6-455E-B46C-C9E3F78A7BE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FE351034-6E7B-4F0A-BDD8-5DFA42370F83}" name="WorksheetConnection_Book1!Raw_Sales_Data" type="102" refreshedVersion="7" minRefreshableVersion="5">
    <extLst>
      <ext xmlns:x15="http://schemas.microsoft.com/office/spreadsheetml/2010/11/main" uri="{DE250136-89BD-433C-8126-D09CA5730AF9}">
        <x15:connection id="Raw_Sales_Data">
          <x15:rangePr sourceName="_xlcn.WorksheetConnection_Book1Raw_Sales_Data"/>
        </x15:connection>
      </ext>
    </extLst>
  </connection>
  <connection id="5" xr16:uid="{9157E6FE-6EB2-49D9-9D5D-F5DE75349F01}" name="WorksheetConnection_Book1!Sales_Region" type="102" refreshedVersion="7" minRefreshableVersion="5">
    <extLst>
      <ext xmlns:x15="http://schemas.microsoft.com/office/spreadsheetml/2010/11/main" uri="{DE250136-89BD-433C-8126-D09CA5730AF9}">
        <x15:connection id="Sales_Region 1">
          <x15:rangePr sourceName="_xlcn.WorksheetConnection_Book1Sales_Region"/>
        </x15:connection>
      </ext>
    </extLst>
  </connection>
  <connection id="6" xr16:uid="{7253E033-B2BC-4E08-800D-428417B999C6}" name="WorksheetConnection_Book1!Table4" type="102" refreshedVersion="7" minRefreshableVersion="5">
    <extLst>
      <ext xmlns:x15="http://schemas.microsoft.com/office/spreadsheetml/2010/11/main" uri="{DE250136-89BD-433C-8126-D09CA5730AF9}">
        <x15:connection id="Table4">
          <x15:rangePr sourceName="_xlcn.WorksheetConnection_Book1Table4"/>
        </x15:connection>
      </ext>
    </extLst>
  </connection>
  <connection id="7" xr16:uid="{F4D85554-E9AD-44C7-8C73-7E46DB399D2B}" name="WorksheetConnection_Electronic.xlsx!Table_ExternalData_1" type="102" refreshedVersion="7" minRefreshableVersion="5">
    <extLst>
      <ext xmlns:x15="http://schemas.microsoft.com/office/spreadsheetml/2010/11/main" uri="{DE250136-89BD-433C-8126-D09CA5730AF9}">
        <x15:connection id="Table_ExternalData_1">
          <x15:rangePr sourceName="_xlcn.WorksheetConnection_Electronic.xlsxTable_ExternalData_1"/>
        </x15:connection>
      </ext>
    </extLst>
  </connection>
</connections>
</file>

<file path=xl/sharedStrings.xml><?xml version="1.0" encoding="utf-8"?>
<sst xmlns="http://schemas.openxmlformats.org/spreadsheetml/2006/main" count="579" uniqueCount="192">
  <si>
    <t>Order_ID</t>
  </si>
  <si>
    <t>Customer_Name</t>
  </si>
  <si>
    <t>Product_Item</t>
  </si>
  <si>
    <t>Category_Type</t>
  </si>
  <si>
    <t>Sales_Region</t>
  </si>
  <si>
    <t>Order_Date_new</t>
  </si>
  <si>
    <t>Qty</t>
  </si>
  <si>
    <t>Unit_Price</t>
  </si>
  <si>
    <t>Total_Sales</t>
  </si>
  <si>
    <t>ORD-0001</t>
  </si>
  <si>
    <t>Jane Smith</t>
  </si>
  <si>
    <t>Wireless Mouse</t>
  </si>
  <si>
    <t>Electronics</t>
  </si>
  <si>
    <t>North</t>
  </si>
  <si>
    <t>ORD-0002</t>
  </si>
  <si>
    <t>Eve Brown</t>
  </si>
  <si>
    <t>Laptop Pro 15</t>
  </si>
  <si>
    <t>East</t>
  </si>
  <si>
    <t>ORD-0003</t>
  </si>
  <si>
    <t>Charlie Smith</t>
  </si>
  <si>
    <t>4K Monitor</t>
  </si>
  <si>
    <t>ORD-0004</t>
  </si>
  <si>
    <t>Eve Davis</t>
  </si>
  <si>
    <t>Accessories</t>
  </si>
  <si>
    <t>ORD-0005</t>
  </si>
  <si>
    <t>Charlie Brown</t>
  </si>
  <si>
    <t>ORD-0006</t>
  </si>
  <si>
    <t>Bob Davis</t>
  </si>
  <si>
    <t>ORD-0007</t>
  </si>
  <si>
    <t>Eve Moore</t>
  </si>
  <si>
    <t>ORD-0008</t>
  </si>
  <si>
    <t>Alice Doe</t>
  </si>
  <si>
    <t>Mechanical Keyboard</t>
  </si>
  <si>
    <t>ORD-0009</t>
  </si>
  <si>
    <t>South</t>
  </si>
  <si>
    <t>ORD-0010</t>
  </si>
  <si>
    <t>ORD-0011</t>
  </si>
  <si>
    <t>Bob Smith</t>
  </si>
  <si>
    <t>West</t>
  </si>
  <si>
    <t>ORD-0012</t>
  </si>
  <si>
    <t>Frank Wilson</t>
  </si>
  <si>
    <t>ORD-0013</t>
  </si>
  <si>
    <t>Jane Brown</t>
  </si>
  <si>
    <t>accessories</t>
  </si>
  <si>
    <t>ORD-0014</t>
  </si>
  <si>
    <t>John Doe</t>
  </si>
  <si>
    <t>ORD-0015</t>
  </si>
  <si>
    <t>Charlie Wilson</t>
  </si>
  <si>
    <t>ORD-0016</t>
  </si>
  <si>
    <t>Alice Smith</t>
  </si>
  <si>
    <t>ORD-0017</t>
  </si>
  <si>
    <t>ORD-0018</t>
  </si>
  <si>
    <t>Jane Doe</t>
  </si>
  <si>
    <t>ORD-0019</t>
  </si>
  <si>
    <t>Charlie Doe</t>
  </si>
  <si>
    <t>ORD-0020</t>
  </si>
  <si>
    <t>ORD-0021</t>
  </si>
  <si>
    <t>John Miller</t>
  </si>
  <si>
    <t>ORD-0022</t>
  </si>
  <si>
    <t>Alice Brown</t>
  </si>
  <si>
    <t>ORD-0023</t>
  </si>
  <si>
    <t>Eve Smith</t>
  </si>
  <si>
    <t>ORD-0024</t>
  </si>
  <si>
    <t>Charlie Miller</t>
  </si>
  <si>
    <t>ORD-0025</t>
  </si>
  <si>
    <t>Jane Wilson</t>
  </si>
  <si>
    <t>ORD-0026</t>
  </si>
  <si>
    <t>Charlie Davis</t>
  </si>
  <si>
    <t>ORD-0027</t>
  </si>
  <si>
    <t>David Moore</t>
  </si>
  <si>
    <t>ORD-0028</t>
  </si>
  <si>
    <t>Bob Johnson</t>
  </si>
  <si>
    <t>ORD-0029</t>
  </si>
  <si>
    <t>ORD-0030</t>
  </si>
  <si>
    <t>ORD-0031</t>
  </si>
  <si>
    <t>ORD-0032</t>
  </si>
  <si>
    <t>Eve Wilson</t>
  </si>
  <si>
    <t>ORD-0033</t>
  </si>
  <si>
    <t>ORD-0034</t>
  </si>
  <si>
    <t>ORD-0035</t>
  </si>
  <si>
    <t>Frank Smith</t>
  </si>
  <si>
    <t>ORD-0036</t>
  </si>
  <si>
    <t>ORD-0037</t>
  </si>
  <si>
    <t>ORD-0038</t>
  </si>
  <si>
    <t>David Doe</t>
  </si>
  <si>
    <t>ORD-0039</t>
  </si>
  <si>
    <t>Frank Moore</t>
  </si>
  <si>
    <t>ORD-0040</t>
  </si>
  <si>
    <t>Alice Moore</t>
  </si>
  <si>
    <t>ORD-0041</t>
  </si>
  <si>
    <t>ORD-0042</t>
  </si>
  <si>
    <t>ORD-0043</t>
  </si>
  <si>
    <t>ORD-0044</t>
  </si>
  <si>
    <t>Charlie Moore</t>
  </si>
  <si>
    <t>ORD-0045</t>
  </si>
  <si>
    <t>ORD-0046</t>
  </si>
  <si>
    <t>ORD-0047</t>
  </si>
  <si>
    <t>ORD-0048</t>
  </si>
  <si>
    <t>ORD-0049</t>
  </si>
  <si>
    <t>John Davis</t>
  </si>
  <si>
    <t>ORD-0050</t>
  </si>
  <si>
    <t>Jane Moore</t>
  </si>
  <si>
    <t>ORD-0051</t>
  </si>
  <si>
    <t>John Moore</t>
  </si>
  <si>
    <t>ORD-0052</t>
  </si>
  <si>
    <t>ORD-0053</t>
  </si>
  <si>
    <t>ORD-0054</t>
  </si>
  <si>
    <t>ORD-0055</t>
  </si>
  <si>
    <t>Bob Wilson</t>
  </si>
  <si>
    <t>ORD-0056</t>
  </si>
  <si>
    <t>ORD-0057</t>
  </si>
  <si>
    <t>David Wilson</t>
  </si>
  <si>
    <t>ORD-0058</t>
  </si>
  <si>
    <t>ORD-0059</t>
  </si>
  <si>
    <t>ORD-0060</t>
  </si>
  <si>
    <t>Frank Davis</t>
  </si>
  <si>
    <t>ORD-0061</t>
  </si>
  <si>
    <t>David Davis</t>
  </si>
  <si>
    <t>ORD-0062</t>
  </si>
  <si>
    <t>Bob Miller</t>
  </si>
  <si>
    <t>ORD-0063</t>
  </si>
  <si>
    <t>ORD-0064</t>
  </si>
  <si>
    <t>ORD-0065</t>
  </si>
  <si>
    <t>ORD-0066</t>
  </si>
  <si>
    <t>ORD-0067</t>
  </si>
  <si>
    <t>ORD-0068</t>
  </si>
  <si>
    <t>Frank Doe</t>
  </si>
  <si>
    <t>ORD-0069</t>
  </si>
  <si>
    <t>David Johnson</t>
  </si>
  <si>
    <t>ORD-0070</t>
  </si>
  <si>
    <t>David Smith</t>
  </si>
  <si>
    <t>ORD-0071</t>
  </si>
  <si>
    <t>ORD-0072</t>
  </si>
  <si>
    <t>ORD-0073</t>
  </si>
  <si>
    <t>ORD-0074</t>
  </si>
  <si>
    <t>ORD-0075</t>
  </si>
  <si>
    <t>ORD-0076</t>
  </si>
  <si>
    <t>Alice Wilson</t>
  </si>
  <si>
    <t>ORD-0077</t>
  </si>
  <si>
    <t>Alice Johnson</t>
  </si>
  <si>
    <t>ORD-0078</t>
  </si>
  <si>
    <t>ORD-0079</t>
  </si>
  <si>
    <t>ORD-0080</t>
  </si>
  <si>
    <t>ORD-0081</t>
  </si>
  <si>
    <t>David Brown</t>
  </si>
  <si>
    <t>ORD-0082</t>
  </si>
  <si>
    <t>ORD-0083</t>
  </si>
  <si>
    <t>ORD-0084</t>
  </si>
  <si>
    <t>ORD-0085</t>
  </si>
  <si>
    <t>Alice Miller</t>
  </si>
  <si>
    <t>ORD-0086</t>
  </si>
  <si>
    <t>ORD-0087</t>
  </si>
  <si>
    <t>ORD-0088</t>
  </si>
  <si>
    <t>ORD-0089</t>
  </si>
  <si>
    <t>ORD-0090</t>
  </si>
  <si>
    <t>ORD-0091</t>
  </si>
  <si>
    <t>ORD-0092</t>
  </si>
  <si>
    <t>ORD-0093</t>
  </si>
  <si>
    <t>ORD-0094</t>
  </si>
  <si>
    <t>ORD-0095</t>
  </si>
  <si>
    <t>John Wilson</t>
  </si>
  <si>
    <t>ORD-0096</t>
  </si>
  <si>
    <t>ORD-0097</t>
  </si>
  <si>
    <t>ORD-0098</t>
  </si>
  <si>
    <t>ORD-0099</t>
  </si>
  <si>
    <t>ORD-0100</t>
  </si>
  <si>
    <t>ORD-0101</t>
  </si>
  <si>
    <t>David Miller</t>
  </si>
  <si>
    <t>ORD-0102</t>
  </si>
  <si>
    <t>Frank Brown</t>
  </si>
  <si>
    <t>ORD-0103</t>
  </si>
  <si>
    <t>ORD-0104</t>
  </si>
  <si>
    <t>Column Labels</t>
  </si>
  <si>
    <t>Grand Total</t>
  </si>
  <si>
    <t>Feb</t>
  </si>
  <si>
    <t>Mar</t>
  </si>
  <si>
    <t>Apr</t>
  </si>
  <si>
    <t>May</t>
  </si>
  <si>
    <t>Jun</t>
  </si>
  <si>
    <t>Jul</t>
  </si>
  <si>
    <t>Aug</t>
  </si>
  <si>
    <t>Sep</t>
  </si>
  <si>
    <t>Oct</t>
  </si>
  <si>
    <t>Nov</t>
  </si>
  <si>
    <t>Dec</t>
  </si>
  <si>
    <t>Sum of Total_Sales</t>
  </si>
  <si>
    <t>Row Labels</t>
  </si>
  <si>
    <t>Sum of Qty</t>
  </si>
  <si>
    <t>DAX</t>
  </si>
  <si>
    <t>(blank)</t>
  </si>
  <si>
    <t>2024</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</si>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</sst>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Trebuchet MS"/>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2" borderId="0" xfId="0" applyFill="1"/>
    <xf numFmtId="0" fontId="0" fillId="0" borderId="0" xfId="0" applyAlignment="1">
      <alignment horizontal="left"/>
    </xf>
    <xf numFmtId="0" fontId="0" fillId="3" borderId="0" xfId="0" applyFill="1"/>
    <xf numFmtId="1" fontId="0" fillId="0" borderId="0" xfId="0" applyNumberFormat="1"/>
    <xf numFmtId="0" fontId="0" fillId="4" borderId="0" xfId="0" applyFill="1"/>
    <xf numFmtId="164" fontId="0" fillId="0" borderId="0" xfId="0" applyNumberFormat="1"/>
    <xf numFmtId="3" fontId="0" fillId="0" borderId="0" xfId="0" applyNumberFormat="1"/>
  </cellXfs>
  <cellStyles count="1">
    <cellStyle name="Normal" xfId="0" builtinId="0"/>
  </cellStyles>
  <dxfs count="7">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98B418F8-A6CF-4B27-A5C8-39867B4A581D}"/>
  </tableStyles>
  <colors>
    <mruColors>
      <color rgb="FF99FF66"/>
    </mruColors>
  </colors>
  <extLst>
    <ext xmlns:x14="http://schemas.microsoft.com/office/spreadsheetml/2009/9/main" uri="{46F421CA-312F-682f-3DD2-61675219B42D}">
      <x14:dxfs count="1">
        <dxf>
          <font>
            <b/>
            <i val="0"/>
            <name val="Trebuchet MS"/>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6.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Analysis!$B$1:$B$3</c:f>
              <c:strCache>
                <c:ptCount val="1"/>
                <c:pt idx="0">
                  <c:v>2024</c:v>
                </c:pt>
              </c:strCache>
            </c:strRef>
          </c:tx>
          <c:spPr>
            <a:ln w="28575" cap="rnd">
              <a:solidFill>
                <a:schemeClr val="accent1"/>
              </a:solidFill>
              <a:round/>
            </a:ln>
            <a:effectLst/>
          </c:spPr>
          <c:marker>
            <c:symbol val="none"/>
          </c:marke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General</c:formatCode>
                <c:ptCount val="12"/>
                <c:pt idx="0">
                  <c:v>10041</c:v>
                </c:pt>
                <c:pt idx="1">
                  <c:v>10364</c:v>
                </c:pt>
                <c:pt idx="2">
                  <c:v>18322</c:v>
                </c:pt>
                <c:pt idx="3">
                  <c:v>3276</c:v>
                </c:pt>
                <c:pt idx="4">
                  <c:v>3666</c:v>
                </c:pt>
                <c:pt idx="5">
                  <c:v>7872</c:v>
                </c:pt>
                <c:pt idx="6">
                  <c:v>1132</c:v>
                </c:pt>
                <c:pt idx="7">
                  <c:v>20121</c:v>
                </c:pt>
                <c:pt idx="8">
                  <c:v>1667</c:v>
                </c:pt>
                <c:pt idx="9">
                  <c:v>3640</c:v>
                </c:pt>
                <c:pt idx="10">
                  <c:v>11518</c:v>
                </c:pt>
                <c:pt idx="11">
                  <c:v>10814</c:v>
                </c:pt>
              </c:numCache>
            </c:numRef>
          </c:val>
          <c:smooth val="0"/>
          <c:extLst>
            <c:ext xmlns:c16="http://schemas.microsoft.com/office/drawing/2014/chart" uri="{C3380CC4-5D6E-409C-BE32-E72D297353CC}">
              <c16:uniqueId val="{00000009-CC73-48C7-95DF-09AA1B803211}"/>
            </c:ext>
          </c:extLst>
        </c:ser>
        <c:dLbls>
          <c:showLegendKey val="0"/>
          <c:showVal val="0"/>
          <c:showCatName val="0"/>
          <c:showSerName val="0"/>
          <c:showPercent val="0"/>
          <c:showBubbleSize val="0"/>
        </c:dLbls>
        <c:smooth val="0"/>
        <c:axId val="266005471"/>
        <c:axId val="266005799"/>
      </c:lineChart>
      <c:catAx>
        <c:axId val="26600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05799"/>
        <c:crosses val="autoZero"/>
        <c:auto val="1"/>
        <c:lblAlgn val="ctr"/>
        <c:lblOffset val="100"/>
        <c:noMultiLvlLbl val="0"/>
      </c:catAx>
      <c:valAx>
        <c:axId val="266005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0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oftEdge rad="12700"/>
          </a:effectLst>
          <a:scene3d>
            <a:camera prst="orthographicFront"/>
            <a:lightRig rig="threePt" dir="t"/>
          </a:scene3d>
          <a:sp3d>
            <a:bevel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oftEdge rad="12700"/>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F97F1B6-44F6-433A-93C6-B4E4444AC575}" type="PERCENTAGE">
                  <a:rPr lang="en-US" baseline="0"/>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a:softEdge rad="12700"/>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1826CC4-B1D9-4874-B2B9-FEBACF2FB520}" type="PERCENTAGE">
                  <a:rPr lang="en-US" baseline="0"/>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07562026444805"/>
                  <c:h val="6.8620870667028697E-2"/>
                </c:manualLayout>
              </c15:layout>
              <c15:dlblFieldTable/>
              <c15:showDataLabelsRange val="0"/>
            </c:ext>
          </c:extLst>
        </c:dLbl>
      </c:pivotFmt>
    </c:pivotFmts>
    <c:plotArea>
      <c:layout/>
      <c:doughnutChart>
        <c:varyColors val="1"/>
        <c:ser>
          <c:idx val="0"/>
          <c:order val="0"/>
          <c:tx>
            <c:strRef>
              <c:f>Analysis!$I$2</c:f>
              <c:strCache>
                <c:ptCount val="1"/>
                <c:pt idx="0">
                  <c:v>Total</c:v>
                </c:pt>
              </c:strCache>
            </c:strRef>
          </c:tx>
          <c:spPr>
            <a:effectLst>
              <a:softEdge rad="12700"/>
            </a:effectLst>
            <a:scene3d>
              <a:camera prst="orthographicFront"/>
              <a:lightRig rig="threePt" dir="t"/>
            </a:scene3d>
            <a:sp3d>
              <a:bevelT/>
            </a:sp3d>
          </c:spPr>
          <c:dPt>
            <c:idx val="0"/>
            <c:bubble3D val="0"/>
            <c:spPr>
              <a:solidFill>
                <a:schemeClr val="accent1"/>
              </a:solidFill>
              <a:ln>
                <a:noFill/>
              </a:ln>
              <a:effectLst>
                <a:softEdge rad="12700"/>
              </a:effectLst>
              <a:scene3d>
                <a:camera prst="orthographicFront"/>
                <a:lightRig rig="threePt" dir="t"/>
              </a:scene3d>
              <a:sp3d>
                <a:bevelT/>
              </a:sp3d>
            </c:spPr>
            <c:extLst>
              <c:ext xmlns:c16="http://schemas.microsoft.com/office/drawing/2014/chart" uri="{C3380CC4-5D6E-409C-BE32-E72D297353CC}">
                <c16:uniqueId val="{00000001-61DC-459F-90A3-FDC5358DC5A2}"/>
              </c:ext>
            </c:extLst>
          </c:dPt>
          <c:dPt>
            <c:idx val="1"/>
            <c:bubble3D val="0"/>
            <c:spPr>
              <a:solidFill>
                <a:schemeClr val="accent2"/>
              </a:solidFill>
              <a:ln>
                <a:noFill/>
              </a:ln>
              <a:effectLst>
                <a:softEdge rad="12700"/>
              </a:effectLst>
              <a:scene3d>
                <a:camera prst="orthographicFront"/>
                <a:lightRig rig="threePt" dir="t"/>
              </a:scene3d>
              <a:sp3d>
                <a:bevelT/>
              </a:sp3d>
            </c:spPr>
            <c:extLst>
              <c:ext xmlns:c16="http://schemas.microsoft.com/office/drawing/2014/chart" uri="{C3380CC4-5D6E-409C-BE32-E72D297353CC}">
                <c16:uniqueId val="{00000003-61DC-459F-90A3-FDC5358DC5A2}"/>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F97F1B6-44F6-433A-93C6-B4E4444AC575}" type="PERCENTAGE">
                      <a:rPr lang="en-US" baseline="0"/>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61DC-459F-90A3-FDC5358DC5A2}"/>
                </c:ext>
              </c:extLst>
            </c:dLbl>
            <c:dLbl>
              <c:idx val="1"/>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1826CC4-B1D9-4874-B2B9-FEBACF2FB520}" type="PERCENTAGE">
                      <a:rPr lang="en-US" baseline="0"/>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07562026444805"/>
                      <c:h val="6.8620870667028697E-2"/>
                    </c:manualLayout>
                  </c15:layout>
                  <c15:dlblFieldTable/>
                  <c15:showDataLabelsRange val="0"/>
                </c:ext>
                <c:ext xmlns:c16="http://schemas.microsoft.com/office/drawing/2014/chart" uri="{C3380CC4-5D6E-409C-BE32-E72D297353CC}">
                  <c16:uniqueId val="{00000003-61DC-459F-90A3-FDC5358DC5A2}"/>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Analysis!$H$3:$H$5</c:f>
              <c:strCache>
                <c:ptCount val="2"/>
                <c:pt idx="0">
                  <c:v>Accessories</c:v>
                </c:pt>
                <c:pt idx="1">
                  <c:v>Electronics</c:v>
                </c:pt>
              </c:strCache>
            </c:strRef>
          </c:cat>
          <c:val>
            <c:numRef>
              <c:f>Analysis!$I$3:$I$5</c:f>
              <c:numCache>
                <c:formatCode>General</c:formatCode>
                <c:ptCount val="2"/>
                <c:pt idx="0">
                  <c:v>46285</c:v>
                </c:pt>
                <c:pt idx="1">
                  <c:v>56148</c:v>
                </c:pt>
              </c:numCache>
            </c:numRef>
          </c:val>
          <c:extLst>
            <c:ext xmlns:c16="http://schemas.microsoft.com/office/drawing/2014/chart" uri="{C3380CC4-5D6E-409C-BE32-E72D297353CC}">
              <c16:uniqueId val="{00000006-6BBC-4A2C-8A55-367099EE5A5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c:f>
              <c:strCache>
                <c:ptCount val="1"/>
                <c:pt idx="0">
                  <c:v>Total</c:v>
                </c:pt>
              </c:strCache>
            </c:strRef>
          </c:tx>
          <c:spPr>
            <a:solidFill>
              <a:schemeClr val="accent1"/>
            </a:solidFill>
            <a:ln>
              <a:noFill/>
            </a:ln>
            <a:effectLst/>
          </c:spPr>
          <c:invertIfNegative val="0"/>
          <c:cat>
            <c:strRef>
              <c:f>Analysis!$L$3:$L$7</c:f>
              <c:strCache>
                <c:ptCount val="4"/>
                <c:pt idx="0">
                  <c:v>East</c:v>
                </c:pt>
                <c:pt idx="1">
                  <c:v>North</c:v>
                </c:pt>
                <c:pt idx="2">
                  <c:v>South</c:v>
                </c:pt>
                <c:pt idx="3">
                  <c:v>West</c:v>
                </c:pt>
              </c:strCache>
            </c:strRef>
          </c:cat>
          <c:val>
            <c:numRef>
              <c:f>Analysis!$M$3:$M$7</c:f>
              <c:numCache>
                <c:formatCode>General</c:formatCode>
                <c:ptCount val="4"/>
                <c:pt idx="0">
                  <c:v>64</c:v>
                </c:pt>
                <c:pt idx="1">
                  <c:v>84</c:v>
                </c:pt>
                <c:pt idx="2">
                  <c:v>73</c:v>
                </c:pt>
                <c:pt idx="3">
                  <c:v>88</c:v>
                </c:pt>
              </c:numCache>
            </c:numRef>
          </c:val>
          <c:extLst>
            <c:ext xmlns:c16="http://schemas.microsoft.com/office/drawing/2014/chart" uri="{C3380CC4-5D6E-409C-BE32-E72D297353CC}">
              <c16:uniqueId val="{00000006-FD98-4B53-B683-25D50036FEC8}"/>
            </c:ext>
          </c:extLst>
        </c:ser>
        <c:dLbls>
          <c:showLegendKey val="0"/>
          <c:showVal val="0"/>
          <c:showCatName val="0"/>
          <c:showSerName val="0"/>
          <c:showPercent val="0"/>
          <c:showBubbleSize val="0"/>
        </c:dLbls>
        <c:gapWidth val="219"/>
        <c:axId val="268331367"/>
        <c:axId val="268328087"/>
      </c:barChart>
      <c:catAx>
        <c:axId val="268331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28087"/>
        <c:crosses val="autoZero"/>
        <c:auto val="1"/>
        <c:lblAlgn val="ctr"/>
        <c:lblOffset val="100"/>
        <c:noMultiLvlLbl val="0"/>
      </c:catAx>
      <c:valAx>
        <c:axId val="268328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31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Analysis!$R$2</c:f>
              <c:strCache>
                <c:ptCount val="1"/>
                <c:pt idx="0">
                  <c:v>Total</c:v>
                </c:pt>
              </c:strCache>
            </c:strRef>
          </c:tx>
          <c:spPr>
            <a:solidFill>
              <a:schemeClr val="accent1"/>
            </a:solidFill>
            <a:ln>
              <a:noFill/>
            </a:ln>
            <a:effectLst/>
          </c:spPr>
          <c:invertIfNegative val="0"/>
          <c:cat>
            <c:strRef>
              <c:f>Analysis!$Q$3:$Q$7</c:f>
              <c:strCache>
                <c:ptCount val="4"/>
                <c:pt idx="0">
                  <c:v>4K Monitor</c:v>
                </c:pt>
                <c:pt idx="1">
                  <c:v>Laptop Pro 15</c:v>
                </c:pt>
                <c:pt idx="2">
                  <c:v>Mechanical Keyboard</c:v>
                </c:pt>
                <c:pt idx="3">
                  <c:v>Wireless Mouse</c:v>
                </c:pt>
              </c:strCache>
            </c:strRef>
          </c:cat>
          <c:val>
            <c:numRef>
              <c:f>Analysis!$R$3:$R$7</c:f>
              <c:numCache>
                <c:formatCode>General</c:formatCode>
                <c:ptCount val="4"/>
                <c:pt idx="0">
                  <c:v>19681</c:v>
                </c:pt>
                <c:pt idx="1">
                  <c:v>75597</c:v>
                </c:pt>
                <c:pt idx="2">
                  <c:v>4810</c:v>
                </c:pt>
                <c:pt idx="3">
                  <c:v>2345</c:v>
                </c:pt>
              </c:numCache>
            </c:numRef>
          </c:val>
          <c:extLst>
            <c:ext xmlns:c16="http://schemas.microsoft.com/office/drawing/2014/chart" uri="{C3380CC4-5D6E-409C-BE32-E72D297353CC}">
              <c16:uniqueId val="{00000006-B875-4C16-B0B9-22E9434C469F}"/>
            </c:ext>
          </c:extLst>
        </c:ser>
        <c:dLbls>
          <c:showLegendKey val="0"/>
          <c:showVal val="0"/>
          <c:showCatName val="0"/>
          <c:showSerName val="0"/>
          <c:showPercent val="0"/>
          <c:showBubbleSize val="0"/>
        </c:dLbls>
        <c:gapWidth val="219"/>
        <c:axId val="215406799"/>
        <c:axId val="215409095"/>
      </c:barChart>
      <c:catAx>
        <c:axId val="21540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9095"/>
        <c:crosses val="autoZero"/>
        <c:auto val="1"/>
        <c:lblAlgn val="ctr"/>
        <c:lblOffset val="100"/>
        <c:noMultiLvlLbl val="0"/>
      </c:catAx>
      <c:valAx>
        <c:axId val="215409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Analysis!$U$10</c:f>
              <c:strCache>
                <c:ptCount val="1"/>
                <c:pt idx="0">
                  <c:v>Total</c:v>
                </c:pt>
              </c:strCache>
            </c:strRef>
          </c:tx>
          <c:spPr>
            <a:solidFill>
              <a:schemeClr val="accent1"/>
            </a:solidFill>
            <a:ln>
              <a:noFill/>
            </a:ln>
            <a:effectLst/>
          </c:spPr>
          <c:invertIfNegative val="0"/>
          <c:cat>
            <c:strRef>
              <c:f>Analysis!$U$11</c:f>
              <c:strCache>
                <c:ptCount val="1"/>
                <c:pt idx="0">
                  <c:v>Total</c:v>
                </c:pt>
              </c:strCache>
            </c:strRef>
          </c:cat>
          <c:val>
            <c:numRef>
              <c:f>Analysis!$U$11</c:f>
              <c:numCache>
                <c:formatCode>#,##0</c:formatCode>
                <c:ptCount val="1"/>
                <c:pt idx="0">
                  <c:v>199277</c:v>
                </c:pt>
              </c:numCache>
            </c:numRef>
          </c:val>
          <c:extLst>
            <c:ext xmlns:c16="http://schemas.microsoft.com/office/drawing/2014/chart" uri="{C3380CC4-5D6E-409C-BE32-E72D297353CC}">
              <c16:uniqueId val="{00000001-632B-4EAA-8D70-F444ECD6976B}"/>
            </c:ext>
          </c:extLst>
        </c:ser>
        <c:dLbls>
          <c:showLegendKey val="0"/>
          <c:showVal val="0"/>
          <c:showCatName val="0"/>
          <c:showSerName val="0"/>
          <c:showPercent val="0"/>
          <c:showBubbleSize val="0"/>
        </c:dLbls>
        <c:gapWidth val="219"/>
        <c:overlap val="-27"/>
        <c:axId val="707425680"/>
        <c:axId val="707426008"/>
      </c:barChart>
      <c:catAx>
        <c:axId val="7074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26008"/>
        <c:crosses val="autoZero"/>
        <c:auto val="1"/>
        <c:lblAlgn val="ctr"/>
        <c:lblOffset val="100"/>
        <c:noMultiLvlLbl val="0"/>
      </c:catAx>
      <c:valAx>
        <c:axId val="707426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91117384"/>
        <c:axId val="1091117712"/>
      </c:barChart>
      <c:catAx>
        <c:axId val="109111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17712"/>
        <c:crosses val="autoZero"/>
        <c:auto val="1"/>
        <c:lblAlgn val="ctr"/>
        <c:lblOffset val="100"/>
        <c:noMultiLvlLbl val="0"/>
      </c:catAx>
      <c:valAx>
        <c:axId val="109111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17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[Electronic.xlsx]Analysis!PivotTable3</c:name>
    <c:fmtId val="4"/>
  </c:pivotSource>
  <c:chart>
    <c:title>
      <c:tx>
        <c:rich>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r>
              <a:rPr lang="en-US" sz="1400" b="1" i="0" u="none" strike="noStrike" kern="1200" cap="all" spc="50" baseline="0">
                <a:solidFill>
                  <a:schemeClr val="accent1">
                    <a:lumMod val="75000"/>
                  </a:schemeClr>
                </a:solidFill>
                <a:latin typeface="+mn-lt"/>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Analysis!$B$1:$B$3</c:f>
              <c:strCache>
                <c:ptCount val="1"/>
                <c:pt idx="0">
                  <c:v>2024</c:v>
                </c:pt>
              </c:strCache>
            </c:strRef>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General</c:formatCode>
                <c:ptCount val="12"/>
                <c:pt idx="0">
                  <c:v>10041</c:v>
                </c:pt>
                <c:pt idx="1">
                  <c:v>10364</c:v>
                </c:pt>
                <c:pt idx="2">
                  <c:v>18322</c:v>
                </c:pt>
                <c:pt idx="3">
                  <c:v>3276</c:v>
                </c:pt>
                <c:pt idx="4">
                  <c:v>3666</c:v>
                </c:pt>
                <c:pt idx="5">
                  <c:v>7872</c:v>
                </c:pt>
                <c:pt idx="6">
                  <c:v>1132</c:v>
                </c:pt>
                <c:pt idx="7">
                  <c:v>20121</c:v>
                </c:pt>
                <c:pt idx="8">
                  <c:v>1667</c:v>
                </c:pt>
                <c:pt idx="9">
                  <c:v>3640</c:v>
                </c:pt>
                <c:pt idx="10">
                  <c:v>11518</c:v>
                </c:pt>
                <c:pt idx="11">
                  <c:v>10814</c:v>
                </c:pt>
              </c:numCache>
            </c:numRef>
          </c:val>
          <c:smooth val="0"/>
          <c:extLst>
            <c:ext xmlns:c16="http://schemas.microsoft.com/office/drawing/2014/chart" uri="{C3380CC4-5D6E-409C-BE32-E72D297353CC}">
              <c16:uniqueId val="{00000000-A8EE-4720-A3B5-2B30E8C3AF2B}"/>
            </c:ext>
          </c:extLst>
        </c:ser>
        <c:dLbls>
          <c:showLegendKey val="0"/>
          <c:showVal val="0"/>
          <c:showCatName val="0"/>
          <c:showSerName val="0"/>
          <c:showPercent val="0"/>
          <c:showBubbleSize val="0"/>
        </c:dLbls>
        <c:marker val="1"/>
        <c:smooth val="0"/>
        <c:axId val="266005471"/>
        <c:axId val="266005799"/>
      </c:lineChart>
      <c:catAx>
        <c:axId val="266005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6005799"/>
        <c:crosses val="autoZero"/>
        <c:auto val="1"/>
        <c:lblAlgn val="ctr"/>
        <c:lblOffset val="100"/>
        <c:noMultiLvlLbl val="0"/>
      </c:catAx>
      <c:valAx>
        <c:axId val="266005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600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[Electronic.xlsx]Analysis!PivotTable4</c:name>
    <c:fmtId val="3"/>
  </c:pivotSource>
  <c:chart>
    <c:title>
      <c:tx>
        <c:rich>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r>
              <a:rPr lang="en-US">
                <a:solidFill>
                  <a:schemeClr val="accent1">
                    <a:lumMod val="75000"/>
                  </a:schemeClr>
                </a:solidFill>
              </a:rPr>
              <a:t>Revenue</a:t>
            </a:r>
            <a:r>
              <a:rPr lang="en-US" baseline="0">
                <a:solidFill>
                  <a:schemeClr val="accent1">
                    <a:lumMod val="75000"/>
                  </a:schemeClr>
                </a:solidFill>
              </a:rPr>
              <a:t> by category</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4F97F1B6-44F6-433A-93C6-B4E4444AC575}"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F1826CC4-B1D9-4874-B2B9-FEBACF2FB520}"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12907562026444805"/>
                  <c:h val="6.8620870667028697E-2"/>
                </c:manualLayout>
              </c15:layout>
              <c15:dlblFieldTable/>
              <c15:showDataLabelsRange val="0"/>
            </c:ext>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dLbl>
          <c:idx val="0"/>
          <c:tx>
            <c:rich>
              <a:bodyPr/>
              <a:lstStyle/>
              <a:p>
                <a:fld id="{4F97F1B6-44F6-433A-93C6-B4E4444AC575}"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F1826CC4-B1D9-4874-B2B9-FEBACF2FB520}"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12907562026444805"/>
                  <c:h val="6.8620870667028697E-2"/>
                </c:manualLayout>
              </c15:layout>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829912509675952"/>
          <c:y val="0.18310133111954666"/>
          <c:w val="0.36367830337370899"/>
          <c:h val="0.76874442811363031"/>
        </c:manualLayout>
      </c:layout>
      <c:doughnutChart>
        <c:varyColors val="1"/>
        <c:ser>
          <c:idx val="0"/>
          <c:order val="0"/>
          <c:tx>
            <c:strRef>
              <c:f>Analysis!$I$2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AEF-484F-B4FB-1C0B5E671B3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AEF-484F-B4FB-1C0B5E671B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Analysis!$H$3:$H$5</c:f>
              <c:strCache>
                <c:ptCount val="2"/>
                <c:pt idx="0">
                  <c:v>Accessories</c:v>
                </c:pt>
                <c:pt idx="1">
                  <c:v>Electronics</c:v>
                </c:pt>
              </c:strCache>
            </c:strRef>
          </c:cat>
          <c:val>
            <c:numRef>
              <c:f>Analysis!$I$3:$I$5</c:f>
              <c:numCache>
                <c:formatCode>General</c:formatCode>
                <c:ptCount val="2"/>
                <c:pt idx="0">
                  <c:v>46285</c:v>
                </c:pt>
                <c:pt idx="1">
                  <c:v>56148</c:v>
                </c:pt>
              </c:numCache>
            </c:numRef>
          </c:val>
          <c:extLst>
            <c:ext xmlns:c16="http://schemas.microsoft.com/office/drawing/2014/chart" uri="{C3380CC4-5D6E-409C-BE32-E72D297353CC}">
              <c16:uniqueId val="{00000004-7AEF-484F-B4FB-1C0B5E671B3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4657867548996339"/>
          <c:y val="0.29571356287497291"/>
          <c:w val="0.22971417202319949"/>
          <c:h val="0.29315471170758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[Electronic.xlsx]Analysis!PivotTable5</c:name>
    <c:fmtId val="2"/>
  </c:pivotSource>
  <c:chart>
    <c:title>
      <c:tx>
        <c:rich>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r>
              <a:rPr lang="en-US" sz="1400" b="1" i="0" u="none" strike="noStrike" kern="1200" cap="all" spc="50" baseline="0">
                <a:solidFill>
                  <a:schemeClr val="accent1">
                    <a:lumMod val="75000"/>
                  </a:schemeClr>
                </a:solidFill>
                <a:latin typeface="+mn-lt"/>
                <a:ea typeface="+mn-ea"/>
                <a:cs typeface="+mn-cs"/>
              </a:rPr>
              <a:t>quantity sold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cat>
            <c:strRef>
              <c:f>Analysis!$L$3:$L$7</c:f>
              <c:strCache>
                <c:ptCount val="4"/>
                <c:pt idx="0">
                  <c:v>East</c:v>
                </c:pt>
                <c:pt idx="1">
                  <c:v>North</c:v>
                </c:pt>
                <c:pt idx="2">
                  <c:v>South</c:v>
                </c:pt>
                <c:pt idx="3">
                  <c:v>West</c:v>
                </c:pt>
              </c:strCache>
            </c:strRef>
          </c:cat>
          <c:val>
            <c:numRef>
              <c:f>Analysis!$M$3:$M$7</c:f>
              <c:numCache>
                <c:formatCode>General</c:formatCode>
                <c:ptCount val="4"/>
                <c:pt idx="0">
                  <c:v>64</c:v>
                </c:pt>
                <c:pt idx="1">
                  <c:v>84</c:v>
                </c:pt>
                <c:pt idx="2">
                  <c:v>73</c:v>
                </c:pt>
                <c:pt idx="3">
                  <c:v>88</c:v>
                </c:pt>
              </c:numCache>
            </c:numRef>
          </c:val>
          <c:extLst>
            <c:ext xmlns:c16="http://schemas.microsoft.com/office/drawing/2014/chart" uri="{C3380CC4-5D6E-409C-BE32-E72D297353CC}">
              <c16:uniqueId val="{00000000-FF13-4D6B-B426-6037FDB670B0}"/>
            </c:ext>
          </c:extLst>
        </c:ser>
        <c:dLbls>
          <c:showLegendKey val="0"/>
          <c:showVal val="0"/>
          <c:showCatName val="0"/>
          <c:showSerName val="0"/>
          <c:showPercent val="0"/>
          <c:showBubbleSize val="0"/>
        </c:dLbls>
        <c:gapWidth val="100"/>
        <c:overlap val="-24"/>
        <c:axId val="268331367"/>
        <c:axId val="268328087"/>
      </c:barChart>
      <c:catAx>
        <c:axId val="2683313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68328087"/>
        <c:crosses val="autoZero"/>
        <c:auto val="1"/>
        <c:lblAlgn val="ctr"/>
        <c:lblOffset val="100"/>
        <c:noMultiLvlLbl val="0"/>
      </c:catAx>
      <c:valAx>
        <c:axId val="2683280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68331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[Electronic.xlsx]Analysis!PivotTable6</c:name>
    <c:fmtId val="2"/>
  </c:pivotSource>
  <c:chart>
    <c:title>
      <c:tx>
        <c:rich>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r>
              <a:rPr lang="en-US" sz="1400" b="1" i="0" u="none" strike="noStrike" kern="1200" cap="all" spc="50" baseline="0">
                <a:solidFill>
                  <a:schemeClr val="accent1">
                    <a:lumMod val="75000"/>
                  </a:scheme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Analysis!$R$2</c:f>
              <c:strCache>
                <c:ptCount val="1"/>
                <c:pt idx="0">
                  <c:v>Total</c:v>
                </c:pt>
              </c:strCache>
            </c:strRef>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invertIfNegative val="0"/>
          <c:cat>
            <c:strRef>
              <c:f>Analysis!$Q$3:$Q$7</c:f>
              <c:strCache>
                <c:ptCount val="4"/>
                <c:pt idx="0">
                  <c:v>4K Monitor</c:v>
                </c:pt>
                <c:pt idx="1">
                  <c:v>Laptop Pro 15</c:v>
                </c:pt>
                <c:pt idx="2">
                  <c:v>Mechanical Keyboard</c:v>
                </c:pt>
                <c:pt idx="3">
                  <c:v>Wireless Mouse</c:v>
                </c:pt>
              </c:strCache>
            </c:strRef>
          </c:cat>
          <c:val>
            <c:numRef>
              <c:f>Analysis!$R$3:$R$7</c:f>
              <c:numCache>
                <c:formatCode>General</c:formatCode>
                <c:ptCount val="4"/>
                <c:pt idx="0">
                  <c:v>19681</c:v>
                </c:pt>
                <c:pt idx="1">
                  <c:v>75597</c:v>
                </c:pt>
                <c:pt idx="2">
                  <c:v>4810</c:v>
                </c:pt>
                <c:pt idx="3">
                  <c:v>2345</c:v>
                </c:pt>
              </c:numCache>
            </c:numRef>
          </c:val>
          <c:extLst>
            <c:ext xmlns:c16="http://schemas.microsoft.com/office/drawing/2014/chart" uri="{C3380CC4-5D6E-409C-BE32-E72D297353CC}">
              <c16:uniqueId val="{00000000-ABE1-42A9-93C1-CC4B6DF31D6A}"/>
            </c:ext>
          </c:extLst>
        </c:ser>
        <c:dLbls>
          <c:showLegendKey val="0"/>
          <c:showVal val="0"/>
          <c:showCatName val="0"/>
          <c:showSerName val="0"/>
          <c:showPercent val="0"/>
          <c:showBubbleSize val="0"/>
        </c:dLbls>
        <c:gapWidth val="100"/>
        <c:axId val="215406799"/>
        <c:axId val="215409095"/>
      </c:barChart>
      <c:catAx>
        <c:axId val="2154067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15409095"/>
        <c:crosses val="autoZero"/>
        <c:auto val="1"/>
        <c:lblAlgn val="ctr"/>
        <c:lblOffset val="100"/>
        <c:noMultiLvlLbl val="0"/>
      </c:catAx>
      <c:valAx>
        <c:axId val="21540909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1540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image" Target="../media/image3.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63500</xdr:colOff>
      <xdr:row>12</xdr:row>
      <xdr:rowOff>69850</xdr:rowOff>
    </xdr:from>
    <xdr:to>
      <xdr:col>4</xdr:col>
      <xdr:colOff>266700</xdr:colOff>
      <xdr:row>27</xdr:row>
      <xdr:rowOff>63500</xdr:rowOff>
    </xdr:to>
    <xdr:graphicFrame macro="">
      <xdr:nvGraphicFramePr>
        <xdr:cNvPr id="2" name="Chart 1">
          <a:extLst>
            <a:ext uri="{FF2B5EF4-FFF2-40B4-BE49-F238E27FC236}">
              <a16:creationId xmlns:a16="http://schemas.microsoft.com/office/drawing/2014/main" id="{A8268EF3-DC4E-40C1-836F-AF9AD4979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498475</xdr:colOff>
      <xdr:row>8</xdr:row>
      <xdr:rowOff>12700</xdr:rowOff>
    </xdr:from>
    <xdr:to>
      <xdr:col>9</xdr:col>
      <xdr:colOff>171450</xdr:colOff>
      <xdr:row>23</xdr:row>
      <xdr:rowOff>107950</xdr:rowOff>
    </xdr:to>
    <xdr:graphicFrame macro="">
      <xdr:nvGraphicFramePr>
        <xdr:cNvPr id="3" name="Chart 2">
          <a:extLst>
            <a:ext uri="{FF2B5EF4-FFF2-40B4-BE49-F238E27FC236}">
              <a16:creationId xmlns:a16="http://schemas.microsoft.com/office/drawing/2014/main" id="{532068AE-36D4-40FF-92B3-F5DE64D95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xdr:colOff>
      <xdr:row>8</xdr:row>
      <xdr:rowOff>44450</xdr:rowOff>
    </xdr:from>
    <xdr:to>
      <xdr:col>14</xdr:col>
      <xdr:colOff>882650</xdr:colOff>
      <xdr:row>21</xdr:row>
      <xdr:rowOff>25400</xdr:rowOff>
    </xdr:to>
    <xdr:graphicFrame macro="">
      <xdr:nvGraphicFramePr>
        <xdr:cNvPr id="4" name="Chart 3">
          <a:extLst>
            <a:ext uri="{FF2B5EF4-FFF2-40B4-BE49-F238E27FC236}">
              <a16:creationId xmlns:a16="http://schemas.microsoft.com/office/drawing/2014/main" id="{7CE0012E-3E78-4FF5-B75D-A7F749EEB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130175</xdr:colOff>
      <xdr:row>10</xdr:row>
      <xdr:rowOff>146050</xdr:rowOff>
    </xdr:from>
    <xdr:to>
      <xdr:col>18</xdr:col>
      <xdr:colOff>469900</xdr:colOff>
      <xdr:row>23</xdr:row>
      <xdr:rowOff>120650</xdr:rowOff>
    </xdr:to>
    <xdr:graphicFrame macro="">
      <xdr:nvGraphicFramePr>
        <xdr:cNvPr id="5" name="Chart 4">
          <a:extLst>
            <a:ext uri="{FF2B5EF4-FFF2-40B4-BE49-F238E27FC236}">
              <a16:creationId xmlns:a16="http://schemas.microsoft.com/office/drawing/2014/main" id="{6DD079B6-34F6-4B36-9C5F-1CEF0F727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736600</xdr:colOff>
      <xdr:row>0</xdr:row>
      <xdr:rowOff>0</xdr:rowOff>
    </xdr:from>
    <xdr:to>
      <xdr:col>6</xdr:col>
      <xdr:colOff>419100</xdr:colOff>
      <xdr:row>13</xdr:row>
      <xdr:rowOff>34919</xdr:rowOff>
    </xdr:to>
    <mc:AlternateContent xmlns:mc="http://schemas.openxmlformats.org/markup-compatibility/2006" xmlns:a14="http://schemas.microsoft.com/office/drawing/2010/main">
      <mc:Choice Requires="a14">
        <xdr:graphicFrame macro="">
          <xdr:nvGraphicFramePr>
            <xdr:cNvPr id="8" name="Order_Date_new (Year)">
              <a:extLst>
                <a:ext uri="{FF2B5EF4-FFF2-40B4-BE49-F238E27FC236}">
                  <a16:creationId xmlns:a16="http://schemas.microsoft.com/office/drawing/2014/main" id="{7D72BB14-C70C-420B-B83E-576D10CC49C9}"/>
                </a:ext>
              </a:extLst>
            </xdr:cNvPr>
            <xdr:cNvGraphicFramePr/>
          </xdr:nvGraphicFramePr>
          <xdr:xfrm>
            <a:off x="0" y="0"/>
            <a:ext cx="0" cy="0"/>
          </xdr:xfrm>
          <a:graphic>
            <a:graphicData uri="http://schemas.microsoft.com/office/drawing/2010/slicer">
              <sle:slicer xmlns:sle="http://schemas.microsoft.com/office/drawing/2010/slicer" name="Order_Date_new (Year)"/>
            </a:graphicData>
          </a:graphic>
        </xdr:graphicFrame>
      </mc:Choice>
      <mc:Fallback xmlns="">
        <xdr:sp macro="" textlink="">
          <xdr:nvSpPr>
            <xdr:cNvPr id="0" name=""/>
            <xdr:cNvSpPr>
              <a:spLocks noTextEdit="1"/>
            </xdr:cNvSpPr>
          </xdr:nvSpPr>
          <xdr:spPr>
            <a:xfrm>
              <a:off x="4057650" y="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3175</xdr:colOff>
      <xdr:row>13</xdr:row>
      <xdr:rowOff>142875</xdr:rowOff>
    </xdr:from>
    <xdr:to>
      <xdr:col>23</xdr:col>
      <xdr:colOff>60325</xdr:colOff>
      <xdr:row>28</xdr:row>
      <xdr:rowOff>123825</xdr:rowOff>
    </xdr:to>
    <xdr:graphicFrame macro="">
      <xdr:nvGraphicFramePr>
        <xdr:cNvPr id="6" name="Chart 5">
          <a:extLst>
            <a:ext uri="{FF2B5EF4-FFF2-40B4-BE49-F238E27FC236}">
              <a16:creationId xmlns:a16="http://schemas.microsoft.com/office/drawing/2014/main" id="{C231360C-5799-4756-BF91-081BC359B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504825</xdr:colOff>
      <xdr:row>12</xdr:row>
      <xdr:rowOff>107949</xdr:rowOff>
    </xdr:from>
    <xdr:to>
      <xdr:col>18</xdr:col>
      <xdr:colOff>1085850</xdr:colOff>
      <xdr:row>24</xdr:row>
      <xdr:rowOff>22224</xdr:rowOff>
    </xdr:to>
    <xdr:graphicFrame macro="">
      <xdr:nvGraphicFramePr>
        <xdr:cNvPr id="7" name="Chart 6">
          <a:extLst>
            <a:ext uri="{FF2B5EF4-FFF2-40B4-BE49-F238E27FC236}">
              <a16:creationId xmlns:a16="http://schemas.microsoft.com/office/drawing/2014/main" id="{760B456F-9081-48C9-95C1-7311E23DC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608014</xdr:colOff>
      <xdr:row>3</xdr:row>
      <xdr:rowOff>119234</xdr:rowOff>
    </xdr:from>
    <xdr:to>
      <xdr:col>22</xdr:col>
      <xdr:colOff>344640</xdr:colOff>
      <xdr:row>33</xdr:row>
      <xdr:rowOff>166057</xdr:rowOff>
    </xdr:to>
    <xdr:grpSp>
      <xdr:nvGrpSpPr>
        <xdr:cNvPr id="2052" name="Group 2051">
          <a:extLst>
            <a:ext uri="{FF2B5EF4-FFF2-40B4-BE49-F238E27FC236}">
              <a16:creationId xmlns:a16="http://schemas.microsoft.com/office/drawing/2014/main" id="{4006C6B6-A849-4E8D-AD91-E885C8C27CC5}"/>
            </a:ext>
          </a:extLst>
        </xdr:cNvPr>
        <xdr:cNvGrpSpPr/>
      </xdr:nvGrpSpPr>
      <xdr:grpSpPr>
        <a:xfrm>
          <a:off x="608014" y="677596"/>
          <a:ext cx="14188350" cy="5630444"/>
          <a:chOff x="222529" y="15920"/>
          <a:chExt cx="14615007" cy="5683027"/>
        </a:xfrm>
      </xdr:grpSpPr>
      <xdr:sp macro="" textlink="">
        <xdr:nvSpPr>
          <xdr:cNvPr id="2" name="Rectangle: Rounded Corners 1">
            <a:extLst>
              <a:ext uri="{FF2B5EF4-FFF2-40B4-BE49-F238E27FC236}">
                <a16:creationId xmlns:a16="http://schemas.microsoft.com/office/drawing/2014/main" id="{FBA16A41-7347-4900-B103-86BF994D4D08}"/>
              </a:ext>
            </a:extLst>
          </xdr:cNvPr>
          <xdr:cNvSpPr/>
        </xdr:nvSpPr>
        <xdr:spPr>
          <a:xfrm>
            <a:off x="222529" y="15920"/>
            <a:ext cx="14615007" cy="568302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F349F667-ACF5-42AC-BB63-86C297E98D8F}"/>
              </a:ext>
            </a:extLst>
          </xdr:cNvPr>
          <xdr:cNvGraphicFramePr>
            <a:graphicFrameLocks/>
          </xdr:cNvGraphicFramePr>
        </xdr:nvGraphicFramePr>
        <xdr:xfrm>
          <a:off x="3255493" y="1011991"/>
          <a:ext cx="5891163" cy="219106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57669830-D872-49AE-8E18-F1A6FF4A46EE}"/>
              </a:ext>
            </a:extLst>
          </xdr:cNvPr>
          <xdr:cNvGraphicFramePr>
            <a:graphicFrameLocks/>
          </xdr:cNvGraphicFramePr>
        </xdr:nvGraphicFramePr>
        <xdr:xfrm>
          <a:off x="9408733" y="931497"/>
          <a:ext cx="4825106" cy="228266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C7179745-F37E-4C15-A8F2-93D3FB33FFF6}"/>
              </a:ext>
            </a:extLst>
          </xdr:cNvPr>
          <xdr:cNvGraphicFramePr>
            <a:graphicFrameLocks/>
          </xdr:cNvGraphicFramePr>
        </xdr:nvGraphicFramePr>
        <xdr:xfrm>
          <a:off x="3256170" y="3280158"/>
          <a:ext cx="5523524" cy="22441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769C96B1-7D4E-4C0D-915E-80EB44576AA3}"/>
              </a:ext>
            </a:extLst>
          </xdr:cNvPr>
          <xdr:cNvGraphicFramePr>
            <a:graphicFrameLocks/>
          </xdr:cNvGraphicFramePr>
        </xdr:nvGraphicFramePr>
        <xdr:xfrm>
          <a:off x="8900029" y="3306987"/>
          <a:ext cx="5352375" cy="2223208"/>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2051" name="Group 2050">
            <a:extLst>
              <a:ext uri="{FF2B5EF4-FFF2-40B4-BE49-F238E27FC236}">
                <a16:creationId xmlns:a16="http://schemas.microsoft.com/office/drawing/2014/main" id="{56879746-FEF7-4AB7-8E50-3047EE32EBB0}"/>
              </a:ext>
            </a:extLst>
          </xdr:cNvPr>
          <xdr:cNvGrpSpPr/>
        </xdr:nvGrpSpPr>
        <xdr:grpSpPr>
          <a:xfrm>
            <a:off x="3452253" y="154619"/>
            <a:ext cx="10625070" cy="693541"/>
            <a:chOff x="858591" y="92012"/>
            <a:chExt cx="10625069" cy="693541"/>
          </a:xfrm>
        </xdr:grpSpPr>
        <xdr:sp macro="" textlink="">
          <xdr:nvSpPr>
            <xdr:cNvPr id="12" name="Rectangle: Rounded Corners 11">
              <a:extLst>
                <a:ext uri="{FF2B5EF4-FFF2-40B4-BE49-F238E27FC236}">
                  <a16:creationId xmlns:a16="http://schemas.microsoft.com/office/drawing/2014/main" id="{C73C1B9C-272C-481E-8FBC-50D5575C3FAC}"/>
                </a:ext>
              </a:extLst>
            </xdr:cNvPr>
            <xdr:cNvSpPr/>
          </xdr:nvSpPr>
          <xdr:spPr>
            <a:xfrm>
              <a:off x="858591" y="92012"/>
              <a:ext cx="10625069" cy="6935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t>SALES</a:t>
              </a:r>
              <a:r>
                <a:rPr lang="en-US" sz="3600" b="1" baseline="0"/>
                <a:t> PERFORMANCE </a:t>
              </a:r>
              <a:r>
                <a:rPr lang="en-US" sz="3600" b="1" baseline="0">
                  <a:solidFill>
                    <a:schemeClr val="accent2"/>
                  </a:solidFill>
                </a:rPr>
                <a:t>DASHBOARD</a:t>
              </a:r>
              <a:endParaRPr lang="en-US" sz="3600" b="1">
                <a:solidFill>
                  <a:schemeClr val="accent2"/>
                </a:solidFill>
              </a:endParaRPr>
            </a:p>
          </xdr:txBody>
        </xdr:sp>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16F06CD4-D8B7-4E6B-92AA-3599BDE229E5}"/>
                    </a:ext>
                  </a:extLst>
                </xdr:cNvPr>
                <xdr:cNvGraphicFramePr/>
              </xdr:nvGraphicFramePr>
              <xdr:xfrm>
                <a:off x="8555562" y="220067"/>
                <a:ext cx="2735069" cy="467228"/>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15726" y="941882"/>
                  <a:ext cx="2655224" cy="462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048" name="Group 2047">
            <a:extLst>
              <a:ext uri="{FF2B5EF4-FFF2-40B4-BE49-F238E27FC236}">
                <a16:creationId xmlns:a16="http://schemas.microsoft.com/office/drawing/2014/main" id="{EBF50C64-C38F-4C40-8D09-BB53C2101633}"/>
              </a:ext>
            </a:extLst>
          </xdr:cNvPr>
          <xdr:cNvGrpSpPr/>
        </xdr:nvGrpSpPr>
        <xdr:grpSpPr>
          <a:xfrm>
            <a:off x="545563" y="259368"/>
            <a:ext cx="2495282" cy="5285704"/>
            <a:chOff x="11921901" y="250424"/>
            <a:chExt cx="2495282" cy="5285704"/>
          </a:xfrm>
        </xdr:grpSpPr>
        <xdr:sp macro="" textlink="">
          <xdr:nvSpPr>
            <xdr:cNvPr id="3" name="Rectangle: Rounded Corners 2">
              <a:extLst>
                <a:ext uri="{FF2B5EF4-FFF2-40B4-BE49-F238E27FC236}">
                  <a16:creationId xmlns:a16="http://schemas.microsoft.com/office/drawing/2014/main" id="{012D4BBD-5A4E-44D2-A5FE-CD23B6B02078}"/>
                </a:ext>
              </a:extLst>
            </xdr:cNvPr>
            <xdr:cNvSpPr/>
          </xdr:nvSpPr>
          <xdr:spPr>
            <a:xfrm>
              <a:off x="11921901" y="250424"/>
              <a:ext cx="2495282" cy="5285704"/>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A260ADF7-2FB0-48AE-A683-895A16637805}"/>
                </a:ext>
              </a:extLst>
            </xdr:cNvPr>
            <xdr:cNvSpPr/>
          </xdr:nvSpPr>
          <xdr:spPr>
            <a:xfrm>
              <a:off x="12065000" y="509789"/>
              <a:ext cx="2209085" cy="9211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solidFill>
                    <a:schemeClr val="bg1"/>
                  </a:solidFill>
                </a:rPr>
                <a:t>Total</a:t>
              </a:r>
              <a:r>
                <a:rPr lang="en-US" sz="1400" b="1" baseline="0">
                  <a:solidFill>
                    <a:schemeClr val="bg1"/>
                  </a:solidFill>
                </a:rPr>
                <a:t> Revenue</a:t>
              </a:r>
              <a:endParaRPr lang="en-US" sz="1400" b="1">
                <a:solidFill>
                  <a:schemeClr val="bg1"/>
                </a:solidFill>
              </a:endParaRPr>
            </a:p>
          </xdr:txBody>
        </xdr:sp>
        <xdr:sp macro="" textlink="Analysis!Z13">
          <xdr:nvSpPr>
            <xdr:cNvPr id="5" name="TextBox 4">
              <a:extLst>
                <a:ext uri="{FF2B5EF4-FFF2-40B4-BE49-F238E27FC236}">
                  <a16:creationId xmlns:a16="http://schemas.microsoft.com/office/drawing/2014/main" id="{36EA50A5-A5B8-4731-B30A-B7236562B403}"/>
                </a:ext>
              </a:extLst>
            </xdr:cNvPr>
            <xdr:cNvSpPr txBox="1"/>
          </xdr:nvSpPr>
          <xdr:spPr>
            <a:xfrm>
              <a:off x="12816266" y="652887"/>
              <a:ext cx="1371600" cy="36576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D774AAF1-1492-4311-B017-8DC8F18E8F0C}" type="TxLink">
                <a:rPr lang="en-US" sz="2400" b="1" i="0" u="none" strike="noStrike">
                  <a:solidFill>
                    <a:schemeClr val="bg1"/>
                  </a:solidFill>
                  <a:latin typeface="Trebuchet MS"/>
                </a:rPr>
                <a:pPr algn="ctr"/>
                <a:t>199,277</a:t>
              </a:fld>
              <a:endParaRPr lang="en-US" sz="2400" b="1">
                <a:solidFill>
                  <a:schemeClr val="bg1"/>
                </a:solidFill>
              </a:endParaRPr>
            </a:p>
          </xdr:txBody>
        </xdr:sp>
        <xdr:pic>
          <xdr:nvPicPr>
            <xdr:cNvPr id="13" name="Picture 12">
              <a:extLst>
                <a:ext uri="{FF2B5EF4-FFF2-40B4-BE49-F238E27FC236}">
                  <a16:creationId xmlns:a16="http://schemas.microsoft.com/office/drawing/2014/main" id="{8B509F36-9D32-4172-B890-DA23F0AC185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208100" y="762101"/>
              <a:ext cx="536619" cy="536619"/>
            </a:xfrm>
            <a:prstGeom prst="rect">
              <a:avLst/>
            </a:prstGeom>
          </xdr:spPr>
        </xdr:pic>
        <xdr:sp macro="" textlink="">
          <xdr:nvSpPr>
            <xdr:cNvPr id="17" name="Rectangle: Rounded Corners 16">
              <a:extLst>
                <a:ext uri="{FF2B5EF4-FFF2-40B4-BE49-F238E27FC236}">
                  <a16:creationId xmlns:a16="http://schemas.microsoft.com/office/drawing/2014/main" id="{13416DDC-A89C-4035-8AFB-1DB2D7E8418A}"/>
                </a:ext>
              </a:extLst>
            </xdr:cNvPr>
            <xdr:cNvSpPr/>
          </xdr:nvSpPr>
          <xdr:spPr>
            <a:xfrm>
              <a:off x="12083245" y="1780147"/>
              <a:ext cx="2209085" cy="9211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t>Total</a:t>
              </a:r>
              <a:r>
                <a:rPr lang="en-US" sz="1400" b="1" baseline="0"/>
                <a:t> Orders</a:t>
              </a:r>
              <a:endParaRPr lang="en-US" sz="1400" b="1"/>
            </a:p>
          </xdr:txBody>
        </xdr:sp>
        <xdr:sp macro="" textlink="">
          <xdr:nvSpPr>
            <xdr:cNvPr id="15" name="TextBox 14">
              <a:extLst>
                <a:ext uri="{FF2B5EF4-FFF2-40B4-BE49-F238E27FC236}">
                  <a16:creationId xmlns:a16="http://schemas.microsoft.com/office/drawing/2014/main" id="{C672C704-FD44-49E0-875E-8238235AFB27}"/>
                </a:ext>
              </a:extLst>
            </xdr:cNvPr>
            <xdr:cNvSpPr txBox="1"/>
          </xdr:nvSpPr>
          <xdr:spPr>
            <a:xfrm>
              <a:off x="12941479" y="1931830"/>
              <a:ext cx="1198451" cy="34880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US" sz="2400" b="1">
                  <a:solidFill>
                    <a:schemeClr val="bg1"/>
                  </a:solidFill>
                </a:rPr>
                <a:t>104</a:t>
              </a:r>
              <a:endParaRPr lang="en-US" sz="1600" b="1">
                <a:solidFill>
                  <a:schemeClr val="bg1"/>
                </a:solidFill>
              </a:endParaRPr>
            </a:p>
          </xdr:txBody>
        </xdr:sp>
        <xdr:pic>
          <xdr:nvPicPr>
            <xdr:cNvPr id="18" name="Picture 17">
              <a:extLst>
                <a:ext uri="{FF2B5EF4-FFF2-40B4-BE49-F238E27FC236}">
                  <a16:creationId xmlns:a16="http://schemas.microsoft.com/office/drawing/2014/main" id="{E0FFB94F-939B-48E6-8DC5-BD2E91402D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52817" y="2023160"/>
              <a:ext cx="554507" cy="554507"/>
            </a:xfrm>
            <a:prstGeom prst="rect">
              <a:avLst/>
            </a:prstGeom>
          </xdr:spPr>
        </xdr:pic>
        <xdr:sp macro="" textlink="">
          <xdr:nvSpPr>
            <xdr:cNvPr id="25" name="Rectangle: Rounded Corners 24">
              <a:extLst>
                <a:ext uri="{FF2B5EF4-FFF2-40B4-BE49-F238E27FC236}">
                  <a16:creationId xmlns:a16="http://schemas.microsoft.com/office/drawing/2014/main" id="{5B8EF743-A870-4680-ACDF-23B064FBB7D0}"/>
                </a:ext>
              </a:extLst>
            </xdr:cNvPr>
            <xdr:cNvSpPr/>
          </xdr:nvSpPr>
          <xdr:spPr>
            <a:xfrm>
              <a:off x="12082886" y="3014016"/>
              <a:ext cx="2209085" cy="9211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t>Best Month </a:t>
              </a:r>
            </a:p>
          </xdr:txBody>
        </xdr:sp>
        <xdr:sp macro="" textlink="">
          <xdr:nvSpPr>
            <xdr:cNvPr id="27" name="Rectangle: Rounded Corners 26">
              <a:extLst>
                <a:ext uri="{FF2B5EF4-FFF2-40B4-BE49-F238E27FC236}">
                  <a16:creationId xmlns:a16="http://schemas.microsoft.com/office/drawing/2014/main" id="{686D97B5-0CEC-49C5-8E6F-3EB755297F99}"/>
                </a:ext>
              </a:extLst>
            </xdr:cNvPr>
            <xdr:cNvSpPr/>
          </xdr:nvSpPr>
          <xdr:spPr>
            <a:xfrm>
              <a:off x="12101131" y="4320149"/>
              <a:ext cx="2209085" cy="92119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t>Laptop Pro 15</a:t>
              </a:r>
            </a:p>
          </xdr:txBody>
        </xdr:sp>
        <xdr:sp macro="" textlink="">
          <xdr:nvSpPr>
            <xdr:cNvPr id="20" name="TextBox 19">
              <a:extLst>
                <a:ext uri="{FF2B5EF4-FFF2-40B4-BE49-F238E27FC236}">
                  <a16:creationId xmlns:a16="http://schemas.microsoft.com/office/drawing/2014/main" id="{C679CA99-90E3-40FD-AA78-586C207C5409}"/>
                </a:ext>
              </a:extLst>
            </xdr:cNvPr>
            <xdr:cNvSpPr txBox="1"/>
          </xdr:nvSpPr>
          <xdr:spPr>
            <a:xfrm>
              <a:off x="13004085" y="3210775"/>
              <a:ext cx="1162676" cy="438239"/>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US" sz="2400" b="1">
                  <a:solidFill>
                    <a:schemeClr val="bg1"/>
                  </a:solidFill>
                  <a:latin typeface="+mn-lt"/>
                  <a:ea typeface="+mn-ea"/>
                  <a:cs typeface="+mn-cs"/>
                </a:rPr>
                <a:t>Dec</a:t>
              </a:r>
            </a:p>
          </xdr:txBody>
        </xdr:sp>
        <xdr:pic>
          <xdr:nvPicPr>
            <xdr:cNvPr id="28" name="Picture 27">
              <a:extLst>
                <a:ext uri="{FF2B5EF4-FFF2-40B4-BE49-F238E27FC236}">
                  <a16:creationId xmlns:a16="http://schemas.microsoft.com/office/drawing/2014/main" id="{384E69D2-B5BB-4758-8707-6A259FC3886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17043" y="3230556"/>
              <a:ext cx="652887" cy="652887"/>
            </a:xfrm>
            <a:prstGeom prst="rect">
              <a:avLst/>
            </a:prstGeom>
          </xdr:spPr>
        </xdr:pic>
        <xdr:pic>
          <xdr:nvPicPr>
            <xdr:cNvPr id="30" name="Picture 29">
              <a:extLst>
                <a:ext uri="{FF2B5EF4-FFF2-40B4-BE49-F238E27FC236}">
                  <a16:creationId xmlns:a16="http://schemas.microsoft.com/office/drawing/2014/main" id="{EFBD559A-7A67-4463-A771-C1CCAD1D39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234932" y="4492906"/>
              <a:ext cx="670772" cy="670772"/>
            </a:xfrm>
            <a:prstGeom prst="rect">
              <a:avLst/>
            </a:prstGeom>
          </xdr:spPr>
        </xdr:pic>
        <xdr:sp macro="" textlink="">
          <xdr:nvSpPr>
            <xdr:cNvPr id="31" name="TextBox 30">
              <a:extLst>
                <a:ext uri="{FF2B5EF4-FFF2-40B4-BE49-F238E27FC236}">
                  <a16:creationId xmlns:a16="http://schemas.microsoft.com/office/drawing/2014/main" id="{B7F6A6F6-1CB3-4780-BCD4-37342DD9A987}"/>
                </a:ext>
              </a:extLst>
            </xdr:cNvPr>
            <xdr:cNvSpPr txBox="1"/>
          </xdr:nvSpPr>
          <xdr:spPr>
            <a:xfrm>
              <a:off x="13200845" y="4507606"/>
              <a:ext cx="965916" cy="41140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2400" b="1">
                  <a:solidFill>
                    <a:schemeClr val="bg1"/>
                  </a:solidFill>
                </a:rPr>
                <a:t>Best</a:t>
              </a:r>
              <a:endParaRPr lang="en-US" sz="1600" b="1">
                <a:solidFill>
                  <a:schemeClr val="bg1"/>
                </a:solidFill>
              </a:endParaRP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208081712961" createdVersion="7" refreshedVersion="7" minRefreshableVersion="3" recordCount="0" supportSubquery="1" supportAdvancedDrill="1" xr:uid="{B3729B53-F634-48F2-A7DE-F180EAC085C5}">
  <cacheSource type="external" connectionId="3"/>
  <cacheFields count="1">
    <cacheField name="[Measures].[DAX]" caption="DAX" numFmtId="0" hierarchy="31" level="32767"/>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0" memberValueDatatype="130" unbalanced="0"/>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oneField="1">
      <fieldsUsage count="1">
        <fieldUsage x="0"/>
      </fieldsUsage>
    </cacheHierarchy>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208082870369" createdVersion="7" refreshedVersion="7" minRefreshableVersion="3" recordCount="0" supportSubquery="1" supportAdvancedDrill="1" xr:uid="{71F25719-728B-405A-8E45-00FFA327956D}">
  <cacheSource type="external" connectionId="3"/>
  <cacheFields count="1">
    <cacheField name="[Raw_Sales_Data].[Sales_Region].[Sales_Region]" caption="Sales_Region" numFmtId="0" hierarchy="4" level="1">
      <sharedItems containsBlank="1" count="5">
        <s v="East"/>
        <s v="North"/>
        <s v="South"/>
        <s v="West"/>
        <m/>
      </sharedItems>
    </cacheField>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0"/>
      </fieldsUsage>
    </cacheHierarchy>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0" memberValueDatatype="130" unbalanced="0"/>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731132638888" createdVersion="7" refreshedVersion="7" minRefreshableVersion="3" recordCount="0" supportSubquery="1" supportAdvancedDrill="1" xr:uid="{E5289FC8-41E0-4EE8-B4FE-3FE657F89203}">
  <cacheSource type="external" connectionId="3"/>
  <cacheFields count="4">
    <cacheField name="[Raw_Sales_Data].[Order_Date_new].[Order_Date_new]" caption="Order_Date_new" numFmtId="0" hierarchy="5" level="1">
      <sharedItems containsNonDate="0" containsDate="1" containsString="0" containsBlank="1" minDate="2023-02-04T00:00:00" maxDate="2024-12-17T00:00:00" count="95">
        <d v="2023-02-04T00:00:00"/>
        <d v="2023-02-09T00:00:00"/>
        <d v="2023-02-18T00:00:00"/>
        <d v="2023-02-20T00:00:00"/>
        <d v="2023-02-24T00:00:00"/>
        <d v="2023-03-06T00:00:00"/>
        <d v="2023-03-12T00:00:00"/>
        <d v="2023-04-04T00:00:00"/>
        <d v="2023-04-06T00:00:00"/>
        <d v="2023-04-10T00:00:00"/>
        <d v="2023-04-27T00:00:00"/>
        <d v="2023-05-02T00:00:00"/>
        <d v="2023-05-12T00:00:00"/>
        <d v="2023-05-25T00:00:00"/>
        <d v="2023-06-08T00:00:00"/>
        <d v="2023-06-09T00:00:00"/>
        <d v="2023-06-12T00:00:00"/>
        <d v="2023-06-25T00:00:00"/>
        <d v="2023-07-11T00:00:00"/>
        <d v="2023-07-22T00:00:00"/>
        <d v="2023-07-23T00:00:00"/>
        <d v="2023-07-28T00:00:00"/>
        <d v="2023-08-04T00:00:00"/>
        <d v="2023-08-14T00:00:00"/>
        <d v="2023-09-08T00:00:00"/>
        <d v="2023-09-15T00:00:00"/>
        <d v="2023-10-14T00:00:00"/>
        <d v="2023-10-17T00:00:00"/>
        <d v="2023-10-20T00:00:00"/>
        <d v="2023-11-03T00:00:00"/>
        <d v="2023-11-04T00:00:00"/>
        <d v="2023-11-11T00:00:00"/>
        <d v="2023-11-15T00:00:00"/>
        <d v="2023-11-20T00:00:00"/>
        <d v="2023-11-24T00:00:00"/>
        <d v="2023-11-28T00:00:00"/>
        <d v="2023-12-16T00:00:00"/>
        <d v="2023-12-17T00:00:00"/>
        <d v="2023-12-23T00:00:00"/>
        <d v="2024-01-05T00:00:00"/>
        <d v="2024-01-06T00:00:00"/>
        <d v="2024-01-23T00:00:00"/>
        <d v="2024-01-26T00:00:00"/>
        <d v="2024-01-28T00:00:00"/>
        <d v="2024-02-08T00:00:00"/>
        <d v="2024-02-10T00:00:00"/>
        <d v="2024-02-14T00:00:00"/>
        <d v="2024-02-20T00:00:00"/>
        <d v="2024-02-22T00:00:00"/>
        <d v="2024-02-23T00:00:00"/>
        <d v="2024-02-26T00:00:00"/>
        <d v="2024-03-02T00:00:00"/>
        <d v="2024-03-08T00:00:00"/>
        <d v="2024-03-09T00:00:00"/>
        <d v="2024-03-16T00:00:00"/>
        <d v="2024-03-18T00:00:00"/>
        <d v="2024-03-23T00:00:00"/>
        <d v="2024-04-05T00:00:00"/>
        <d v="2024-04-11T00:00:00"/>
        <d v="2024-04-14T00:00:00"/>
        <d v="2024-04-22T00:00:00"/>
        <d v="2024-05-02T00:00:00"/>
        <d v="2024-05-08T00:00:00"/>
        <d v="2024-05-20T00:00:00"/>
        <d v="2024-05-26T00:00:00"/>
        <d v="2024-06-05T00:00:00"/>
        <d v="2024-06-07T00:00:00"/>
        <d v="2024-06-14T00:00:00"/>
        <d v="2024-07-11T00:00:00"/>
        <d v="2024-07-14T00:00:00"/>
        <d v="2024-07-16T00:00:00"/>
        <d v="2024-07-22T00:00:00"/>
        <d v="2024-08-01T00:00:00"/>
        <d v="2024-08-12T00:00:00"/>
        <d v="2024-08-15T00:00:00"/>
        <d v="2024-08-18T00:00:00"/>
        <d v="2024-08-20T00:00:00"/>
        <d v="2024-08-22T00:00:00"/>
        <d v="2024-09-10T00:00:00"/>
        <d v="2024-09-18T00:00:00"/>
        <d v="2024-09-20T00:00:00"/>
        <d v="2024-09-21T00:00:00"/>
        <d v="2024-10-10T00:00:00"/>
        <d v="2024-10-15T00:00:00"/>
        <d v="2024-10-22T00:00:00"/>
        <d v="2024-10-23T00:00:00"/>
        <d v="2024-11-03T00:00:00"/>
        <d v="2024-11-13T00:00:00"/>
        <d v="2024-11-18T00:00:00"/>
        <d v="2024-11-23T00:00:00"/>
        <d v="2024-12-03T00:00:00"/>
        <d v="2024-12-06T00:00:00"/>
        <d v="2024-12-14T00:00:00"/>
        <d v="2024-12-16T00:00:00"/>
        <m/>
      </sharedItems>
    </cacheField>
    <cacheField name="[Raw_Sales_Data].[Order_Date_new (Year)].[Order_Date_new (Year)]" caption="Order_Date_new (Year)" numFmtId="0" hierarchy="9" level="1">
      <sharedItems containsBlank="1" count="3">
        <s v="2024"/>
        <s v="2023" u="1"/>
        <m u="1"/>
      </sharedItems>
    </cacheField>
    <cacheField name="[Raw_Sales_Data].[Order_Date_new (Month)].[Order_Date_new (Month)]" caption="Order_Date_new (Month)" numFmtId="0" hierarchy="11" level="1">
      <sharedItems count="12">
        <s v="Jan"/>
        <s v="Feb"/>
        <s v="Mar"/>
        <s v="Apr"/>
        <s v="May"/>
        <s v="Jun"/>
        <s v="Jul"/>
        <s v="Aug"/>
        <s v="Sep"/>
        <s v="Oct"/>
        <s v="Nov"/>
        <s v="Dec"/>
      </sharedItems>
    </cacheField>
    <cacheField name="[Measures].[Sum of Total_Sales]" caption="Sum of Total_Sales" numFmtId="0" hierarchy="28" level="32767"/>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_new]" caption="Order_Date_new" attribute="1" time="1" defaultMemberUniqueName="[Raw_Sales_Data].[Order_Date_new].[All]" allUniqueName="[Raw_Sales_Data].[Order_Date_new].[All]" dimensionUniqueName="[Raw_Sales_Data]" displayFolder="" count="2" memberValueDatatype="7" unbalanced="0">
      <fieldsUsage count="2">
        <fieldUsage x="-1"/>
        <fieldUsage x="0"/>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2" memberValueDatatype="130" unbalanced="0">
      <fieldsUsage count="2">
        <fieldUsage x="-1"/>
        <fieldUsage x="1"/>
      </fieldsUsage>
    </cacheHierarchy>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2" memberValueDatatype="130" unbalanced="0">
      <fieldsUsage count="2">
        <fieldUsage x="-1"/>
        <fieldUsage x="2"/>
      </fieldsUsage>
    </cacheHierarchy>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oneField="1">
      <fieldsUsage count="1">
        <fieldUsage x="3"/>
      </fieldsUsage>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731133796296" createdVersion="7" refreshedVersion="7" minRefreshableVersion="3" recordCount="0" supportSubquery="1" supportAdvancedDrill="1" xr:uid="{E029D753-B02B-4694-82D9-07348FDB19F2}">
  <cacheSource type="external" connectionId="3"/>
  <cacheFields count="3">
    <cacheField name="[Raw_Sales_Data].[Category_Type].[Category_Type]" caption="Category_Type" numFmtId="0" hierarchy="3" level="1">
      <sharedItems count="2">
        <s v="Accessories"/>
        <s v="Electronics"/>
      </sharedItems>
    </cacheField>
    <cacheField name="[Measures].[Sum of Total_Sales]" caption="Sum of Total_Sales" numFmtId="0" hierarchy="28" level="32767"/>
    <cacheField name="[Raw_Sales_Data].[Order_Date_new (Year)].[Order_Date_new (Year)]" caption="Order_Date_new (Year)" numFmtId="0" hierarchy="9" level="1">
      <sharedItems containsSemiMixedTypes="0" containsNonDate="0" containsString="0"/>
    </cacheField>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2" memberValueDatatype="130" unbalanced="0">
      <fieldsUsage count="2">
        <fieldUsage x="-1"/>
        <fieldUsage x="2"/>
      </fieldsUsage>
    </cacheHierarchy>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oneField="1">
      <fieldsUsage count="1">
        <fieldUsage x="1"/>
      </fieldsUsage>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731138888892" createdVersion="7" refreshedVersion="7" minRefreshableVersion="3" recordCount="0" supportSubquery="1" supportAdvancedDrill="1" xr:uid="{4A06C89E-3075-4B9E-A7EE-1660D66D5E80}">
  <cacheSource type="external" connectionId="3"/>
  <cacheFields count="3">
    <cacheField name="[Measures].[Sum of Qty]" caption="Sum of Qty" numFmtId="0" hierarchy="29" level="32767"/>
    <cacheField name="[Raw_Sales_Data].[Sales_Region].[Sales_Region]" caption="Sales_Region" numFmtId="0" hierarchy="4" level="1">
      <sharedItems count="4">
        <s v="East"/>
        <s v="North"/>
        <s v="South"/>
        <s v="West"/>
      </sharedItems>
    </cacheField>
    <cacheField name="[Raw_Sales_Data].[Order_Date_new (Year)].[Order_Date_new (Year)]" caption="Order_Date_new (Year)" numFmtId="0" hierarchy="9" level="1">
      <sharedItems containsSemiMixedTypes="0" containsNonDate="0" containsString="0"/>
    </cacheField>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2" memberValueDatatype="130" unbalanced="0">
      <fieldsUsage count="2">
        <fieldUsage x="-1"/>
        <fieldUsage x="2"/>
      </fieldsUsage>
    </cacheHierarchy>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oneField="1">
      <fieldsUsage count="1">
        <fieldUsage x="0"/>
      </fieldsUsage>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731143518518" createdVersion="7" refreshedVersion="7" minRefreshableVersion="3" recordCount="0" supportSubquery="1" supportAdvancedDrill="1" xr:uid="{11BC4D9A-5A52-472E-B602-E15E6A449AC0}">
  <cacheSource type="external" connectionId="3"/>
  <cacheFields count="3">
    <cacheField name="[Raw_Sales_Data].[Product_Item].[Product_Item]" caption="Product_Item" numFmtId="0" hierarchy="2" level="1">
      <sharedItems count="4">
        <s v="4K Monitor"/>
        <s v="Laptop Pro 15"/>
        <s v="Mechanical Keyboard"/>
        <s v="Wireless Mouse"/>
      </sharedItems>
    </cacheField>
    <cacheField name="[Measures].[Sum of Total_Sales]" caption="Sum of Total_Sales" numFmtId="0" hierarchy="28" level="32767"/>
    <cacheField name="[Raw_Sales_Data].[Order_Date_new (Year)].[Order_Date_new (Year)]" caption="Order_Date_new (Year)" numFmtId="0" hierarchy="9" level="1">
      <sharedItems containsSemiMixedTypes="0" containsNonDate="0" containsString="0"/>
    </cacheField>
  </cacheFields>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2" memberValueDatatype="130" unbalanced="0">
      <fieldsUsage count="2">
        <fieldUsage x="-1"/>
        <fieldUsage x="0"/>
      </fieldsUsage>
    </cacheHierarchy>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2" memberValueDatatype="130" unbalanced="0">
      <fieldsUsage count="2">
        <fieldUsage x="-1"/>
        <fieldUsage x="2"/>
      </fieldsUsage>
    </cacheHierarchy>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oneField="1">
      <fieldsUsage count="1">
        <fieldUsage x="1"/>
      </fieldsUsage>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dimensions count="5">
    <dimension measure="1" name="Measures" uniqueName="[Measures]" caption="Measures"/>
    <dimension name="Raw_Sales_Data" uniqueName="[Raw_Sales_Data]" caption="Raw_Sales_Data"/>
    <dimension name="Sales_Region 1" uniqueName="[Sales_Region 1]" caption="Sales_Region 1"/>
    <dimension name="Table_ExternalData_1" uniqueName="[Table_ExternalData_1]" caption="Table_ExternalData_1"/>
    <dimension name="Table4" uniqueName="[Table4]" caption="Table4"/>
  </dimensions>
  <measureGroups count="4">
    <measureGroup name="Raw_Sales_Data" caption="Raw_Sales_Data"/>
    <measureGroup name="Sales_Region 1" caption="Sales_Region 1"/>
    <measureGroup name="Table_ExternalData_1" caption="Table_ExternalData_1"/>
    <measureGroup name="Table4" caption="Table4"/>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8.208083796293" createdVersion="3" refreshedVersion="7" minRefreshableVersion="3" recordCount="0" supportSubquery="1" supportAdvancedDrill="1" xr:uid="{45E0C856-C85F-42BE-A9DA-426DF75F62CC}">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Order_Date_new]" caption="Order_Date_new" attribute="1" time="1" defaultMemberUniqueName="[Raw_Sales_Data].[Order_Date_new].[All]" allUniqueName="[Raw_Sales_Data].[Order_Date_new].[All]" dimensionUniqueName="[Raw_Sales_Data]" displayFolder="" count="0" memberValueDatatype="7"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Order_Date_new (Year)]" caption="Order_Date_new (Year)" attribute="1" defaultMemberUniqueName="[Raw_Sales_Data].[Order_Date_new (Year)].[All]" allUniqueName="[Raw_Sales_Data].[Order_Date_new (Year)].[All]" dimensionUniqueName="[Raw_Sales_Data]" displayFolder="" count="2" memberValueDatatype="130" unbalanced="0"/>
    <cacheHierarchy uniqueName="[Raw_Sales_Data].[Order_Date_new (Quarter)]" caption="Order_Date_new (Quarter)" attribute="1" defaultMemberUniqueName="[Raw_Sales_Data].[Order_Date_new (Quarter)].[All]" allUniqueName="[Raw_Sales_Data].[Order_Date_new (Quarter)].[All]" dimensionUniqueName="[Raw_Sales_Data]" displayFolder="" count="0" memberValueDatatype="130" unbalanced="0"/>
    <cacheHierarchy uniqueName="[Raw_Sales_Data].[Order_Date_new (Month)]" caption="Order_Date_new (Month)" attribute="1" defaultMemberUniqueName="[Raw_Sales_Data].[Order_Date_new (Month)].[All]" allUniqueName="[Raw_Sales_Data].[Order_Date_new (Month)].[All]" dimensionUniqueName="[Raw_Sales_Data]" displayFolder="" count="0" memberValueDatatype="130" unbalanced="0"/>
    <cacheHierarchy uniqueName="[Sales_Region 1].[Sales_Region]" caption="Sales_Region" attribute="1" defaultMemberUniqueName="[Sales_Region 1].[Sales_Region].[All]" allUniqueName="[Sales_Region 1].[Sales_Region].[All]" dimensionUniqueName="[Sales_Region 1]" displayFolder="" count="0" memberValueDatatype="130" unbalanced="0"/>
    <cacheHierarchy uniqueName="[Table_ExternalData_1].[Raw_Sales_Data[Order_ID]]]" caption="Raw_Sales_Data[Order_ID]" attribute="1" defaultMemberUniqueName="[Table_ExternalData_1].[Raw_Sales_Data[Order_ID]]].[All]" allUniqueName="[Table_ExternalData_1].[Raw_Sales_Data[Order_ID]]].[All]" dimensionUniqueName="[Table_ExternalData_1]" displayFolder="" count="0" memberValueDatatype="130" unbalanced="0"/>
    <cacheHierarchy uniqueName="[Table_ExternalData_1].[Raw_Sales_Data[Customer_Name]]]" caption="Raw_Sales_Data[Customer_Name]" attribute="1" defaultMemberUniqueName="[Table_ExternalData_1].[Raw_Sales_Data[Customer_Name]]].[All]" allUniqueName="[Table_ExternalData_1].[Raw_Sales_Data[Customer_Name]]].[All]" dimensionUniqueName="[Table_ExternalData_1]" displayFolder="" count="0" memberValueDatatype="130" unbalanced="0"/>
    <cacheHierarchy uniqueName="[Table_ExternalData_1].[Raw_Sales_Data[Product_Item]]]" caption="Raw_Sales_Data[Product_Item]" attribute="1" defaultMemberUniqueName="[Table_ExternalData_1].[Raw_Sales_Data[Product_Item]]].[All]" allUniqueName="[Table_ExternalData_1].[Raw_Sales_Data[Product_Item]]].[All]" dimensionUniqueName="[Table_ExternalData_1]" displayFolder="" count="0" memberValueDatatype="130" unbalanced="0"/>
    <cacheHierarchy uniqueName="[Table_ExternalData_1].[Raw_Sales_Data[Category_Type]]]" caption="Raw_Sales_Data[Category_Type]" attribute="1" defaultMemberUniqueName="[Table_ExternalData_1].[Raw_Sales_Data[Category_Type]]].[All]" allUniqueName="[Table_ExternalData_1].[Raw_Sales_Data[Category_Type]]].[All]" dimensionUniqueName="[Table_ExternalData_1]" displayFolder="" count="0" memberValueDatatype="130" unbalanced="0"/>
    <cacheHierarchy uniqueName="[Table_ExternalData_1].[Raw_Sales_Data[Sales_Region]]]" caption="Raw_Sales_Data[Sales_Region]" attribute="1" defaultMemberUniqueName="[Table_ExternalData_1].[Raw_Sales_Data[Sales_Region]]].[All]" allUniqueName="[Table_ExternalData_1].[Raw_Sales_Data[Sales_Region]]].[All]" dimensionUniqueName="[Table_ExternalData_1]" displayFolder="" count="0" memberValueDatatype="130" unbalanced="0"/>
    <cacheHierarchy uniqueName="[Table_ExternalData_1].[Raw_Sales_Data[Order_Date_new]]]" caption="Raw_Sales_Data[Order_Date_new]" attribute="1" time="1" defaultMemberUniqueName="[Table_ExternalData_1].[Raw_Sales_Data[Order_Date_new]]].[All]" allUniqueName="[Table_ExternalData_1].[Raw_Sales_Data[Order_Date_new]]].[All]" dimensionUniqueName="[Table_ExternalData_1]" displayFolder="" count="0" memberValueDatatype="7" unbalanced="0"/>
    <cacheHierarchy uniqueName="[Table_ExternalData_1].[Raw_Sales_Data[Qty]]]" caption="Raw_Sales_Data[Qty]" attribute="1" defaultMemberUniqueName="[Table_ExternalData_1].[Raw_Sales_Data[Qty]]].[All]" allUniqueName="[Table_ExternalData_1].[Raw_Sales_Data[Qty]]].[All]" dimensionUniqueName="[Table_ExternalData_1]" displayFolder="" count="0" memberValueDatatype="20" unbalanced="0"/>
    <cacheHierarchy uniqueName="[Table_ExternalData_1].[Raw_Sales_Data[Unit_Price]]]" caption="Raw_Sales_Data[Unit_Price]" attribute="1" defaultMemberUniqueName="[Table_ExternalData_1].[Raw_Sales_Data[Unit_Price]]].[All]" allUniqueName="[Table_ExternalData_1].[Raw_Sales_Data[Unit_Price]]].[All]" dimensionUniqueName="[Table_ExternalData_1]" displayFolder="" count="0" memberValueDatatype="20" unbalanced="0"/>
    <cacheHierarchy uniqueName="[Table_ExternalData_1].[Raw_Sales_Data[Total_Sales]]]" caption="Raw_Sales_Data[Total_Sales]" attribute="1" defaultMemberUniqueName="[Table_ExternalData_1].[Raw_Sales_Data[Total_Sales]]].[All]" allUniqueName="[Table_ExternalData_1].[Raw_Sales_Data[Total_Sales]]].[All]" dimensionUniqueName="[Table_ExternalData_1]" displayFolder="" count="0" memberValueDatatype="20" unbalanced="0"/>
    <cacheHierarchy uniqueName="[Table_ExternalData_1].[Raw_Sales_Data[Order_Date_new (Year)]]]" caption="Raw_Sales_Data[Order_Date_new (Year)]" attribute="1" defaultMemberUniqueName="[Table_ExternalData_1].[Raw_Sales_Data[Order_Date_new (Year)]]].[All]" allUniqueName="[Table_ExternalData_1].[Raw_Sales_Data[Order_Date_new (Year)]]].[All]" dimensionUniqueName="[Table_ExternalData_1]" displayFolder="" count="0" memberValueDatatype="130" unbalanced="0"/>
    <cacheHierarchy uniqueName="[Table_ExternalData_1].[Raw_Sales_Data[Order_Date_new (Quarter)]]]" caption="Raw_Sales_Data[Order_Date_new (Quarter)]" attribute="1" defaultMemberUniqueName="[Table_ExternalData_1].[Raw_Sales_Data[Order_Date_new (Quarter)]]].[All]" allUniqueName="[Table_ExternalData_1].[Raw_Sales_Data[Order_Date_new (Quarter)]]].[All]" dimensionUniqueName="[Table_ExternalData_1]" displayFolder="" count="0" memberValueDatatype="130" unbalanced="0"/>
    <cacheHierarchy uniqueName="[Table_ExternalData_1].[Raw_Sales_Data[Order_Date_new (Month)]]]" caption="Raw_Sales_Data[Order_Date_new (Month)]" attribute="1" defaultMemberUniqueName="[Table_ExternalData_1].[Raw_Sales_Data[Order_Date_new (Month)]]].[All]" allUniqueName="[Table_ExternalData_1].[Raw_Sales_Data[Order_Date_new (Month)]]].[All]" dimensionUniqueName="[Table_ExternalData_1]" displayFolder="" count="0" memberValueDatatype="130" unbalanced="0"/>
    <cacheHierarchy uniqueName="[Table_ExternalData_1].[Raw_Sales_Data[Order_Date_new (Month Index)]]]" caption="Raw_Sales_Data[Order_Date_new (Month Index)]" attribute="1" defaultMemberUniqueName="[Table_ExternalData_1].[Raw_Sales_Data[Order_Date_new (Month Index)]]].[All]" allUniqueName="[Table_ExternalData_1].[Raw_Sales_Data[Order_Date_new (Month Index)]]].[All]" dimensionUniqueName="[Table_ExternalData_1]" displayFolder="" count="0" memberValueDatatype="20" unbalanced="0"/>
    <cacheHierarchy uniqueName="[Table4].[Column1]" caption="Column1" attribute="1" defaultMemberUniqueName="[Table4].[Column1].[All]" allUniqueName="[Table4].[Column1].[All]" dimensionUniqueName="[Table4]" displayFolder="" count="0" memberValueDatatype="130" unbalanced="0"/>
    <cacheHierarchy uniqueName="[Raw_Sales_Data].[Order_Date_new (Month Index)]" caption="Order_Date_new (Month Index)" attribute="1" defaultMemberUniqueName="[Raw_Sales_Data].[Order_Date_new (Month Index)].[All]" allUniqueName="[Raw_Sales_Data].[Order_Date_new (Month Index)].[All]" dimensionUniqueName="[Raw_Sales_Data]" displayFolder="" count="0" memberValueDatatype="20" unbalanced="0" hidden="1"/>
    <cacheHierarchy uniqueName="[Measures].[Sum of Total_Sales]" caption="Sum of Total_Sales" measure="1" displayFolder="" measureGroup="Raw_Sales_Data" count="0">
      <extLst>
        <ext xmlns:x15="http://schemas.microsoft.com/office/spreadsheetml/2010/11/main" uri="{B97F6D7D-B522-45F9-BDA1-12C45D357490}">
          <x15:cacheHierarchy aggregatedColumn="8"/>
        </ext>
      </extLst>
    </cacheHierarchy>
    <cacheHierarchy uniqueName="[Measures].[Sum of Qty]" caption="Sum of Qty" measure="1" displayFolder="" measureGroup="Raw_Sales_Data" count="0">
      <extLst>
        <ext xmlns:x15="http://schemas.microsoft.com/office/spreadsheetml/2010/11/main" uri="{B97F6D7D-B522-45F9-BDA1-12C45D357490}">
          <x15:cacheHierarchy aggregatedColumn="6"/>
        </ext>
      </extLst>
    </cacheHierarchy>
    <cacheHierarchy uniqueName="[Measures].[Sum of Unit_Price]" caption="Sum of Unit_Price" measure="1" displayFolder="" measureGroup="Raw_Sales_Data" count="0">
      <extLst>
        <ext xmlns:x15="http://schemas.microsoft.com/office/spreadsheetml/2010/11/main" uri="{B97F6D7D-B522-45F9-BDA1-12C45D357490}">
          <x15:cacheHierarchy aggregatedColumn="7"/>
        </ext>
      </extLst>
    </cacheHierarchy>
    <cacheHierarchy uniqueName="[Measures].[DAX]" caption="DAX" measure="1" displayFolder="" measureGroup="Raw_Sales_Data" count="0"/>
    <cacheHierarchy uniqueName="[Measures].[__XL_Count Raw_Sales_Data]" caption="__XL_Count Raw_Sales_Data" measure="1" displayFolder="" measureGroup="Raw_Sales_Data" count="0" hidden="1"/>
    <cacheHierarchy uniqueName="[Measures].[__XL_Count Sales_Region 1]" caption="__XL_Count Sales_Region 1" measure="1" displayFolder="" measureGroup="Sales_Region 1" count="0" hidden="1"/>
    <cacheHierarchy uniqueName="[Measures].[__XL_Count Table4]" caption="__XL_Count Table4" measure="1" displayFolder="" measureGroup="Table4"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_DAX Goal]" caption="_DAX Goal" measure="1" displayFolder="" measureGroup="Raw_Sales_Data" count="0" hidden="1"/>
    <cacheHierarchy uniqueName="[Measures].[_DAX Status]" caption="_DAX Status" measure="1" iconSet="6" displayFolder="" measureGroup="Raw_Sales_Data" count="0" hidden="1"/>
  </cacheHierarchies>
  <kpis count="1">
    <kpi uniqueName="DAX" caption="DAX" displayFolder="" measureGroup="Raw_Sales_Data" parent="" value="[Measures].[DAX]" goal="[Measures].[_DAX Goal]" status="[Measures].[_DAX Status]" trend="" weight=""/>
  </kpis>
  <extLst>
    <ext xmlns:x14="http://schemas.microsoft.com/office/spreadsheetml/2009/9/main" uri="{725AE2AE-9491-48be-B2B4-4EB974FC3084}">
      <x14:pivotCacheDefinition slicerData="1" pivotCacheId="11771639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24F59-1B2B-46E8-91D6-323918608531}" name="PivotTable2" cacheId="1" applyNumberFormats="0" applyBorderFormats="0" applyFontFormats="0" applyPatternFormats="0" applyAlignmentFormats="0" applyWidthHeightFormats="1" dataCaption="Values" tag="43ff2902-f1b2-42bd-b510-ec73b32370ab" updatedVersion="7" minRefreshableVersion="3" useAutoFormatting="1" subtotalHiddenItems="1" itemPrintTitles="1" createdVersion="7" indent="0" outline="1" outlineData="1" multipleFieldFilters="0" chartFormat="1">
  <location ref="X13:X1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06EE0-6385-4CF5-A110-ACA4E0FD96A0}" name="PivotTable1" cacheId="0" applyNumberFormats="0" applyBorderFormats="0" applyFontFormats="0" applyPatternFormats="0" applyAlignmentFormats="0" applyWidthHeightFormats="1" dataCaption="Values" tag="a0a47886-d318-4805-b8d6-baa1df59e240" updatedVersion="7" minRefreshableVersion="3" useAutoFormatting="1" subtotalHiddenItems="1" itemPrintTitles="1" createdVersion="7" indent="0" outline="1" outlineData="1" multipleFieldFilters="0" chartFormat="1">
  <location ref="U10:U11" firstHeaderRow="1" firstDataRow="1" firstDataCol="0"/>
  <pivotFields count="1">
    <pivotField dataField="1" subtotalTop="0" showAll="0" defaultSubtotal="0"/>
  </pivotFields>
  <rowItems count="1">
    <i/>
  </rowItems>
  <colItems count="1">
    <i/>
  </colItems>
  <dataFields count="1">
    <dataField name="DAX"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A9CA8-FD05-4294-ADED-27093497FDA6}" name="PivotTable6" cacheId="5" applyNumberFormats="0" applyBorderFormats="0" applyFontFormats="0" applyPatternFormats="0" applyAlignmentFormats="0" applyWidthHeightFormats="1" dataCaption="Values" tag="9767b881-f251-4b5c-b4d0-bd408cbafcc8" updatedVersion="7" minRefreshableVersion="3" useAutoFormatting="1" subtotalHiddenItems="1" itemPrintTitles="1" createdVersion="7" indent="0" outline="1" outlineData="1" multipleFieldFilters="0" chartFormat="4">
  <location ref="Q2:R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Order_Date_new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D8340-F47A-4A2A-86C8-35CDD62DE3C0}" name="PivotTable5" cacheId="4" applyNumberFormats="0" applyBorderFormats="0" applyFontFormats="0" applyPatternFormats="0" applyAlignmentFormats="0" applyWidthHeightFormats="1" dataCaption="Values" tag="16568a1f-d303-4ed7-bdc3-862651897aeb" updatedVersion="7" minRefreshableVersion="3" useAutoFormatting="1" subtotalHiddenItems="1" itemPrintTitles="1" createdVersion="7" indent="0" outline="1" outlineData="1" multipleFieldFilters="0" chartFormat="3">
  <location ref="L2:M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Qty"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Order_Date_new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ACD6A0-BD7B-4249-A75C-8DFFC4945A2B}" name="PivotTable4" cacheId="3" applyNumberFormats="0" applyBorderFormats="0" applyFontFormats="0" applyPatternFormats="0" applyAlignmentFormats="0" applyWidthHeightFormats="1" dataCaption="Values" tag="b3f48e51-f8c7-41e4-b1f2-f8f305a63bfc" updatedVersion="7" minRefreshableVersion="3" useAutoFormatting="1" subtotalHiddenItems="1" itemPrintTitles="1" createdVersion="7" indent="0" outline="1" outlineData="1" multipleFieldFilters="0" chartFormat="4">
  <location ref="H2:I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Sales"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w_Sales_Data].[Order_Date_new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57CF4-44A6-4BF3-B82C-25D3180A472E}" name="PivotTable3" cacheId="2" applyNumberFormats="0" applyBorderFormats="0" applyFontFormats="0" applyPatternFormats="0" applyAlignmentFormats="0" applyWidthHeightFormats="1" dataCaption="Values" tag="207106b3-9bd6-4543-8a0f-4f458a6486bc" updatedVersion="7" minRefreshableVersion="3" useAutoFormatting="1" subtotalHiddenItems="1" itemPrintTitles="1" createdVersion="7" indent="0" outline="1" outlineData="1" multipleFieldFilters="0" chartFormat="5">
  <location ref="A1:C16" firstHeaderRow="1" firstDataRow="3" firstDataCol="1"/>
  <pivotFields count="4">
    <pivotField axis="axisCol" allDrilled="1" subtotalTop="0" showAll="0" dataSourceSort="1" defaultSubtotal="0" defaultAttributeDrillState="1">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s>
    </pivotField>
    <pivotField axis="axisCol" allDrilled="1" subtotalTop="0" showAll="0" dataSourceSort="1" defaultSubtotal="0">
      <items count="3">
        <item s="1" x="0" e="0"/>
        <item x="1" e="0"/>
        <item x="2"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Fields count="2">
    <field x="1"/>
    <field x="0"/>
  </colFields>
  <colItems count="2">
    <i>
      <x/>
    </i>
    <i t="grand">
      <x/>
    </i>
  </colItems>
  <dataFields count="1">
    <dataField name="Sum of Total_Sales" fld="3" baseField="0" baseItem="0"/>
  </dataFields>
  <chartFormats count="8">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1"/>
          </reference>
        </references>
      </pivotArea>
    </chartFormat>
    <chartFormat chart="0" format="4" series="1">
      <pivotArea type="data" outline="0" fieldPosition="0">
        <references count="1">
          <reference field="1" count="1" selected="0">
            <x v="0"/>
          </reference>
        </references>
      </pivotArea>
    </chartFormat>
    <chartFormat chart="0" format="5" series="1">
      <pivotArea type="data" outline="0" fieldPosition="0">
        <references count="3">
          <reference field="4294967294" count="1" selected="0">
            <x v="0"/>
          </reference>
          <reference field="0" count="1" selected="0">
            <x v="1048832"/>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colHierarchiesUsage count="2">
    <colHierarchyUsage hierarchyUsage="9"/>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04B4B1D-3D9D-4BF7-9EEC-516359465E72}" autoFormatId="16" applyNumberFormats="0" applyBorderFormats="0" applyFontFormats="0" applyPatternFormats="0" applyAlignmentFormats="0" applyWidthHeightFormats="0">
  <queryTableRefresh nextId="2">
    <queryTableFields count="1">
      <queryTableField id="1" name="Sales_Region"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183C32D-C7EB-495E-841F-AA2028EBBCF3}" autoFormatId="16" applyNumberFormats="0" applyBorderFormats="0" applyFontFormats="0" applyPatternFormats="0" applyAlignmentFormats="0" applyWidthHeightFormats="0">
  <queryTableRefresh nextId="10">
    <queryTableFields count="9">
      <queryTableField id="1" name="Order_ID" tableColumnId="1"/>
      <queryTableField id="2" name="Customer_Name" tableColumnId="2"/>
      <queryTableField id="3" name="Product_Item" tableColumnId="3"/>
      <queryTableField id="4" name="Category_Type" tableColumnId="4"/>
      <queryTableField id="5" name="Sales_Region" tableColumnId="5"/>
      <queryTableField id="6" name="Order_Date_new" tableColumnId="6"/>
      <queryTableField id="7" name="Qty" tableColumnId="7"/>
      <queryTableField id="8" name="Unit_Price" tableColumnId="8"/>
      <queryTableField id="9" name="Total_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new__Year" xr10:uid="{543631B5-2D6E-457D-AA79-807A475FAB57}" sourceName="[Raw_Sales_Data].[Order_Date_new (Year)]">
  <pivotTables>
    <pivotTable tabId="7" name="PivotTable3"/>
    <pivotTable tabId="7" name="PivotTable4"/>
    <pivotTable tabId="7" name="PivotTable5"/>
    <pivotTable tabId="7" name="PivotTable6"/>
  </pivotTables>
  <data>
    <olap pivotCacheId="1177163986">
      <levels count="2">
        <level uniqueName="[Raw_Sales_Data].[Order_Date_new (Year)].[(All)]" sourceCaption="(All)" count="0"/>
        <level uniqueName="[Raw_Sales_Data].[Order_Date_new (Year)].[Order_Date_new (Year)]" sourceCaption="Order_Date_new (Year)" count="3">
          <ranges>
            <range startItem="0">
              <i n="[Raw_Sales_Data].[Order_Date_new (Year)].&amp;[2023]" c="2023"/>
              <i n="[Raw_Sales_Data].[Order_Date_new (Year)].&amp;[2024]" c="2024"/>
              <i n="[Raw_Sales_Data].[Order_Date_new (Year)].&amp;" c="(blank)" nd="1"/>
            </range>
          </ranges>
        </level>
      </levels>
      <selections count="1">
        <selection n="[Raw_Sales_Data].[Order_Date_new (Year)].&amp;[2024]"/>
      </selections>
    </olap>
  </data>
  <extLst>
    <x:ext xmlns:x15="http://schemas.microsoft.com/office/spreadsheetml/2010/11/main" uri="{470722E0-AACD-4C17-9CDC-17EF765DBC7E}">
      <x15:slicerCacheHideItemsWithNoData count="1">
        <x15:slicerCacheOlapLevelName uniqueName="[Raw_Sales_Data].[Order_Date_new (Year)].[Order_Date_new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_new (Year)" xr10:uid="{6530BD76-F515-45F4-80F0-F8537E17B6D6}" cache="Slicer_Order_Date_new__Year" caption="Order_Date_new (Year)"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46EB874-05E6-442B-B6C1-D189B63C52DF}" cache="Slicer_Order_Date_new__Year" columnCount="2" showCaption="0" level="1"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E3A9F9-B663-4E29-A400-5AAEBF49EB48}" name="Sales_Region" displayName="Sales_Region" ref="A1:A5" tableType="queryTable" totalsRowShown="0">
  <autoFilter ref="A1:A5" xr:uid="{86E3A9F9-B663-4E29-A400-5AAEBF49EB48}"/>
  <tableColumns count="1">
    <tableColumn id="1" xr3:uid="{F88FB1A3-3266-45BF-BE96-38E51FA79267}" uniqueName="1" name="Sales_Region" queryTableFieldId="1"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FCECC-9B06-4B03-9451-C5ECBC63F591}" name="Raw_Sales_Data" displayName="Raw_Sales_Data" ref="A1:I105" tableType="queryTable" totalsRowShown="0">
  <autoFilter ref="A1:I105" xr:uid="{BC1FCECC-9B06-4B03-9451-C5ECBC63F591}"/>
  <tableColumns count="9">
    <tableColumn id="1" xr3:uid="{201A431A-C618-42E8-955F-720F2B4C63F7}" uniqueName="1" name="Order_ID" queryTableFieldId="1" dataDxfId="5"/>
    <tableColumn id="2" xr3:uid="{C3F586A8-57BF-420B-904E-15F406B703CE}" uniqueName="2" name="Customer_Name" queryTableFieldId="2" dataDxfId="4"/>
    <tableColumn id="3" xr3:uid="{C3464BE0-F929-4379-AEAE-FBE1A7741A99}" uniqueName="3" name="Product_Item" queryTableFieldId="3" dataDxfId="3"/>
    <tableColumn id="4" xr3:uid="{8E2EFBF4-83CE-4D0D-9D78-5713D214B4EB}" uniqueName="4" name="Category_Type" queryTableFieldId="4" dataDxfId="2"/>
    <tableColumn id="5" xr3:uid="{A548D9BC-BDC8-4B74-AA63-19B780DCB5F8}" uniqueName="5" name="Sales_Region" queryTableFieldId="5" dataDxfId="1"/>
    <tableColumn id="6" xr3:uid="{302AFE24-1CFB-4D20-B2DB-8B211E764FEC}" uniqueName="6" name="Order_Date_new" queryTableFieldId="6" dataDxfId="0"/>
    <tableColumn id="7" xr3:uid="{76EF0AA5-1482-4DA8-BBC9-728EB5FC2425}" uniqueName="7" name="Qty" queryTableFieldId="7"/>
    <tableColumn id="8" xr3:uid="{DE5EECD2-2931-4ED2-9E41-2136C42B130A}" uniqueName="8" name="Unit_Price" queryTableFieldId="8"/>
    <tableColumn id="9" xr3:uid="{20CFE0F0-DE70-4C7C-9FF2-F327114A5217}" uniqueName="9" name="Total_Sales" queryTableFieldId="9"/>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0625-D7C9-4D9A-A877-E46CB07EA753}">
  <dimension ref="A1:A5"/>
  <sheetViews>
    <sheetView workbookViewId="0">
      <selection activeCell="D22" sqref="D22"/>
    </sheetView>
  </sheetViews>
  <sheetFormatPr defaultRowHeight="14.5" x14ac:dyDescent="0.35"/>
  <cols>
    <col min="1" max="1" width="13.83203125" customWidth="1"/>
  </cols>
  <sheetData>
    <row r="1" spans="1:1" x14ac:dyDescent="0.35">
      <c r="A1" t="s">
        <v>4</v>
      </c>
    </row>
    <row r="2" spans="1:1" x14ac:dyDescent="0.35">
      <c r="A2" s="1" t="s">
        <v>13</v>
      </c>
    </row>
    <row r="3" spans="1:1" x14ac:dyDescent="0.35">
      <c r="A3" s="1" t="s">
        <v>17</v>
      </c>
    </row>
    <row r="4" spans="1:1" x14ac:dyDescent="0.35">
      <c r="A4" s="1" t="s">
        <v>34</v>
      </c>
    </row>
    <row r="5" spans="1:1" x14ac:dyDescent="0.35">
      <c r="A5" s="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88B6-07B1-4FFB-8063-4EFDE4DF8C9B}">
  <dimension ref="A1:I105"/>
  <sheetViews>
    <sheetView workbookViewId="0">
      <selection sqref="A1:I105"/>
    </sheetView>
  </sheetViews>
  <sheetFormatPr defaultRowHeight="14.5" x14ac:dyDescent="0.35"/>
  <cols>
    <col min="1" max="1" width="10.75" customWidth="1"/>
    <col min="2" max="2" width="17.25" customWidth="1"/>
    <col min="3" max="3" width="18.75" customWidth="1"/>
    <col min="4" max="4" width="15.58203125" customWidth="1"/>
    <col min="5" max="5" width="13.83203125" customWidth="1"/>
    <col min="6" max="6" width="17.58203125" customWidth="1"/>
    <col min="7" max="7" width="6" customWidth="1"/>
    <col min="8" max="8" width="11.6640625" customWidth="1"/>
    <col min="9" max="9" width="12.5" customWidth="1"/>
  </cols>
  <sheetData>
    <row r="1" spans="1:9" x14ac:dyDescent="0.35">
      <c r="A1" t="s">
        <v>0</v>
      </c>
      <c r="B1" t="s">
        <v>1</v>
      </c>
      <c r="C1" t="s">
        <v>2</v>
      </c>
      <c r="D1" t="s">
        <v>3</v>
      </c>
      <c r="E1" t="s">
        <v>4</v>
      </c>
      <c r="F1" t="s">
        <v>5</v>
      </c>
      <c r="G1" t="s">
        <v>6</v>
      </c>
      <c r="H1" t="s">
        <v>7</v>
      </c>
      <c r="I1" t="s">
        <v>8</v>
      </c>
    </row>
    <row r="2" spans="1:9" x14ac:dyDescent="0.35">
      <c r="A2" s="1" t="s">
        <v>9</v>
      </c>
      <c r="B2" s="1" t="s">
        <v>10</v>
      </c>
      <c r="C2" s="1" t="s">
        <v>11</v>
      </c>
      <c r="D2" s="1" t="s">
        <v>12</v>
      </c>
      <c r="E2" s="1" t="s">
        <v>13</v>
      </c>
      <c r="F2" s="2">
        <v>45254</v>
      </c>
      <c r="G2">
        <v>1</v>
      </c>
      <c r="H2">
        <v>35</v>
      </c>
      <c r="I2">
        <v>35</v>
      </c>
    </row>
    <row r="3" spans="1:9" x14ac:dyDescent="0.35">
      <c r="A3" s="1" t="s">
        <v>14</v>
      </c>
      <c r="B3" s="1" t="s">
        <v>15</v>
      </c>
      <c r="C3" s="1" t="s">
        <v>16</v>
      </c>
      <c r="D3" s="1" t="s">
        <v>12</v>
      </c>
      <c r="E3" s="1" t="s">
        <v>17</v>
      </c>
      <c r="F3" s="2">
        <v>45640</v>
      </c>
      <c r="G3">
        <v>6</v>
      </c>
      <c r="H3">
        <v>1209</v>
      </c>
      <c r="I3">
        <v>7254</v>
      </c>
    </row>
    <row r="4" spans="1:9" x14ac:dyDescent="0.35">
      <c r="A4" s="1" t="s">
        <v>18</v>
      </c>
      <c r="B4" s="1" t="s">
        <v>19</v>
      </c>
      <c r="C4" s="1" t="s">
        <v>20</v>
      </c>
      <c r="D4" s="1" t="s">
        <v>12</v>
      </c>
      <c r="E4" s="1" t="s">
        <v>13</v>
      </c>
      <c r="F4" s="2">
        <v>45545</v>
      </c>
      <c r="G4">
        <v>2</v>
      </c>
      <c r="H4">
        <v>343</v>
      </c>
      <c r="I4">
        <v>686</v>
      </c>
    </row>
    <row r="5" spans="1:9" x14ac:dyDescent="0.35">
      <c r="A5" s="1" t="s">
        <v>21</v>
      </c>
      <c r="B5" s="1" t="s">
        <v>22</v>
      </c>
      <c r="C5" s="1" t="s">
        <v>11</v>
      </c>
      <c r="D5" s="1" t="s">
        <v>23</v>
      </c>
      <c r="E5" s="1" t="s">
        <v>13</v>
      </c>
      <c r="F5" s="2">
        <v>45450</v>
      </c>
      <c r="G5">
        <v>4</v>
      </c>
      <c r="H5">
        <v>27</v>
      </c>
      <c r="I5">
        <v>108</v>
      </c>
    </row>
    <row r="6" spans="1:9" x14ac:dyDescent="0.35">
      <c r="A6" s="1" t="s">
        <v>24</v>
      </c>
      <c r="B6" s="1" t="s">
        <v>25</v>
      </c>
      <c r="C6" s="1" t="s">
        <v>16</v>
      </c>
      <c r="D6" s="1" t="s">
        <v>12</v>
      </c>
      <c r="E6" s="1" t="s">
        <v>17</v>
      </c>
      <c r="F6" s="2">
        <v>45317</v>
      </c>
      <c r="G6">
        <v>8</v>
      </c>
      <c r="H6">
        <v>1194</v>
      </c>
      <c r="I6">
        <v>9552</v>
      </c>
    </row>
    <row r="7" spans="1:9" x14ac:dyDescent="0.35">
      <c r="A7" s="1" t="s">
        <v>26</v>
      </c>
      <c r="B7" s="1" t="s">
        <v>27</v>
      </c>
      <c r="C7" s="1" t="s">
        <v>20</v>
      </c>
      <c r="D7" s="1" t="s">
        <v>23</v>
      </c>
      <c r="E7" s="1" t="s">
        <v>13</v>
      </c>
      <c r="F7" s="2">
        <v>45387</v>
      </c>
      <c r="G7">
        <v>7</v>
      </c>
      <c r="H7">
        <v>352</v>
      </c>
      <c r="I7">
        <v>2464</v>
      </c>
    </row>
    <row r="8" spans="1:9" x14ac:dyDescent="0.35">
      <c r="A8" s="1" t="s">
        <v>28</v>
      </c>
      <c r="B8" s="1" t="s">
        <v>29</v>
      </c>
      <c r="C8" s="1" t="s">
        <v>16</v>
      </c>
      <c r="D8" s="1" t="s">
        <v>12</v>
      </c>
      <c r="E8" s="1" t="s">
        <v>17</v>
      </c>
      <c r="F8" s="2">
        <v>45614</v>
      </c>
      <c r="G8">
        <v>8</v>
      </c>
      <c r="H8">
        <v>1198</v>
      </c>
      <c r="I8">
        <v>9584</v>
      </c>
    </row>
    <row r="9" spans="1:9" x14ac:dyDescent="0.35">
      <c r="A9" s="1" t="s">
        <v>30</v>
      </c>
      <c r="B9" s="1" t="s">
        <v>31</v>
      </c>
      <c r="C9" s="1" t="s">
        <v>32</v>
      </c>
      <c r="D9" s="1" t="s">
        <v>12</v>
      </c>
      <c r="E9" s="1" t="s">
        <v>13</v>
      </c>
      <c r="F9" s="2">
        <v>44997</v>
      </c>
      <c r="G9">
        <v>2</v>
      </c>
      <c r="H9">
        <v>0</v>
      </c>
      <c r="I9">
        <v>0</v>
      </c>
    </row>
    <row r="10" spans="1:9" x14ac:dyDescent="0.35">
      <c r="A10" s="1" t="s">
        <v>33</v>
      </c>
      <c r="B10" s="1" t="s">
        <v>25</v>
      </c>
      <c r="C10" s="1" t="s">
        <v>16</v>
      </c>
      <c r="D10" s="1" t="s">
        <v>12</v>
      </c>
      <c r="E10" s="1" t="s">
        <v>34</v>
      </c>
      <c r="F10" s="2">
        <v>45276</v>
      </c>
      <c r="G10">
        <v>9</v>
      </c>
      <c r="H10">
        <v>1206</v>
      </c>
      <c r="I10">
        <v>10854</v>
      </c>
    </row>
    <row r="11" spans="1:9" x14ac:dyDescent="0.35">
      <c r="A11" s="1" t="s">
        <v>35</v>
      </c>
      <c r="B11" s="1" t="s">
        <v>15</v>
      </c>
      <c r="C11" s="1" t="s">
        <v>11</v>
      </c>
      <c r="D11" s="1" t="s">
        <v>23</v>
      </c>
      <c r="E11" s="1" t="s">
        <v>13</v>
      </c>
      <c r="F11" s="2">
        <v>45495</v>
      </c>
      <c r="G11">
        <v>1</v>
      </c>
      <c r="H11">
        <v>22</v>
      </c>
      <c r="I11">
        <v>22</v>
      </c>
    </row>
    <row r="12" spans="1:9" x14ac:dyDescent="0.35">
      <c r="A12" s="1" t="s">
        <v>36</v>
      </c>
      <c r="B12" s="1" t="s">
        <v>37</v>
      </c>
      <c r="C12" s="1" t="s">
        <v>11</v>
      </c>
      <c r="D12" s="1" t="s">
        <v>12</v>
      </c>
      <c r="E12" s="1" t="s">
        <v>38</v>
      </c>
      <c r="F12" s="2">
        <v>45319</v>
      </c>
      <c r="G12">
        <v>10</v>
      </c>
      <c r="H12">
        <v>22</v>
      </c>
      <c r="I12">
        <v>220</v>
      </c>
    </row>
    <row r="13" spans="1:9" x14ac:dyDescent="0.35">
      <c r="A13" s="1" t="s">
        <v>39</v>
      </c>
      <c r="B13" s="1" t="s">
        <v>40</v>
      </c>
      <c r="C13" s="1" t="s">
        <v>20</v>
      </c>
      <c r="D13" s="1" t="s">
        <v>23</v>
      </c>
      <c r="E13" s="1" t="s">
        <v>13</v>
      </c>
      <c r="F13" s="2">
        <v>45487</v>
      </c>
      <c r="G13">
        <v>2</v>
      </c>
      <c r="H13">
        <v>350</v>
      </c>
      <c r="I13">
        <v>700</v>
      </c>
    </row>
    <row r="14" spans="1:9" x14ac:dyDescent="0.35">
      <c r="A14" s="1" t="s">
        <v>41</v>
      </c>
      <c r="B14" s="1" t="s">
        <v>42</v>
      </c>
      <c r="C14" s="1" t="s">
        <v>11</v>
      </c>
      <c r="D14" s="1" t="s">
        <v>43</v>
      </c>
      <c r="E14" s="1" t="s">
        <v>38</v>
      </c>
      <c r="F14" s="2">
        <v>45360</v>
      </c>
      <c r="G14">
        <v>2</v>
      </c>
      <c r="H14">
        <v>32</v>
      </c>
      <c r="I14">
        <v>64</v>
      </c>
    </row>
    <row r="15" spans="1:9" x14ac:dyDescent="0.35">
      <c r="A15" s="1" t="s">
        <v>44</v>
      </c>
      <c r="B15" s="1" t="s">
        <v>45</v>
      </c>
      <c r="C15" s="1" t="s">
        <v>11</v>
      </c>
      <c r="D15" s="1" t="s">
        <v>12</v>
      </c>
      <c r="E15" s="1" t="s">
        <v>13</v>
      </c>
      <c r="F15" s="2">
        <v>45489</v>
      </c>
      <c r="G15">
        <v>7</v>
      </c>
      <c r="H15">
        <v>29</v>
      </c>
      <c r="I15">
        <v>203</v>
      </c>
    </row>
    <row r="16" spans="1:9" x14ac:dyDescent="0.35">
      <c r="A16" s="1" t="s">
        <v>46</v>
      </c>
      <c r="B16" s="1" t="s">
        <v>47</v>
      </c>
      <c r="C16" s="1" t="s">
        <v>20</v>
      </c>
      <c r="D16" s="1" t="s">
        <v>12</v>
      </c>
      <c r="E16" s="1" t="s">
        <v>13</v>
      </c>
      <c r="F16" s="2">
        <v>45026</v>
      </c>
      <c r="G16">
        <v>10</v>
      </c>
      <c r="H16">
        <v>356</v>
      </c>
      <c r="I16">
        <v>3560</v>
      </c>
    </row>
    <row r="17" spans="1:9" x14ac:dyDescent="0.35">
      <c r="A17" s="1" t="s">
        <v>48</v>
      </c>
      <c r="B17" s="1" t="s">
        <v>49</v>
      </c>
      <c r="C17" s="1" t="s">
        <v>16</v>
      </c>
      <c r="D17" s="1" t="s">
        <v>12</v>
      </c>
      <c r="E17" s="1" t="s">
        <v>13</v>
      </c>
      <c r="F17" s="2">
        <v>44977</v>
      </c>
      <c r="G17">
        <v>0</v>
      </c>
      <c r="H17">
        <v>1208</v>
      </c>
      <c r="I17">
        <v>0</v>
      </c>
    </row>
    <row r="18" spans="1:9" x14ac:dyDescent="0.35">
      <c r="A18" s="1" t="s">
        <v>50</v>
      </c>
      <c r="B18" s="1" t="s">
        <v>45</v>
      </c>
      <c r="C18" s="1" t="s">
        <v>32</v>
      </c>
      <c r="D18" s="1" t="s">
        <v>23</v>
      </c>
      <c r="E18" s="1" t="s">
        <v>17</v>
      </c>
      <c r="F18" s="2">
        <v>45404</v>
      </c>
      <c r="G18">
        <v>2</v>
      </c>
      <c r="H18">
        <v>94</v>
      </c>
      <c r="I18">
        <v>188</v>
      </c>
    </row>
    <row r="19" spans="1:9" x14ac:dyDescent="0.35">
      <c r="A19" s="1" t="s">
        <v>51</v>
      </c>
      <c r="B19" s="1" t="s">
        <v>52</v>
      </c>
      <c r="C19" s="1" t="s">
        <v>11</v>
      </c>
      <c r="D19" s="1" t="s">
        <v>23</v>
      </c>
      <c r="E19" s="1" t="s">
        <v>17</v>
      </c>
      <c r="F19" s="2">
        <v>45330</v>
      </c>
      <c r="G19">
        <v>9</v>
      </c>
      <c r="H19">
        <v>32</v>
      </c>
      <c r="I19">
        <v>288</v>
      </c>
    </row>
    <row r="20" spans="1:9" x14ac:dyDescent="0.35">
      <c r="A20" s="1" t="s">
        <v>53</v>
      </c>
      <c r="B20" s="1" t="s">
        <v>54</v>
      </c>
      <c r="C20" s="1" t="s">
        <v>11</v>
      </c>
      <c r="D20" s="1" t="s">
        <v>23</v>
      </c>
      <c r="E20" s="1" t="s">
        <v>17</v>
      </c>
      <c r="F20" s="2">
        <v>44961</v>
      </c>
      <c r="G20">
        <v>5</v>
      </c>
      <c r="H20">
        <v>23</v>
      </c>
      <c r="I20">
        <v>115</v>
      </c>
    </row>
    <row r="21" spans="1:9" x14ac:dyDescent="0.35">
      <c r="A21" s="1" t="s">
        <v>55</v>
      </c>
      <c r="B21" s="1" t="s">
        <v>45</v>
      </c>
      <c r="C21" s="1" t="s">
        <v>16</v>
      </c>
      <c r="D21" s="1" t="s">
        <v>12</v>
      </c>
      <c r="E21" s="1" t="s">
        <v>38</v>
      </c>
      <c r="F21" s="2">
        <v>45102</v>
      </c>
      <c r="G21">
        <v>1</v>
      </c>
      <c r="H21">
        <v>1194</v>
      </c>
      <c r="I21">
        <v>1194</v>
      </c>
    </row>
    <row r="22" spans="1:9" x14ac:dyDescent="0.35">
      <c r="A22" s="1" t="s">
        <v>56</v>
      </c>
      <c r="B22" s="1" t="s">
        <v>57</v>
      </c>
      <c r="C22" s="1" t="s">
        <v>11</v>
      </c>
      <c r="D22" s="1" t="s">
        <v>12</v>
      </c>
      <c r="E22" s="1" t="s">
        <v>34</v>
      </c>
      <c r="F22" s="2">
        <v>45058</v>
      </c>
      <c r="G22">
        <v>6</v>
      </c>
      <c r="H22">
        <v>28</v>
      </c>
      <c r="I22">
        <v>168</v>
      </c>
    </row>
    <row r="23" spans="1:9" x14ac:dyDescent="0.35">
      <c r="A23" s="1" t="s">
        <v>58</v>
      </c>
      <c r="B23" s="1" t="s">
        <v>59</v>
      </c>
      <c r="C23" s="1" t="s">
        <v>11</v>
      </c>
      <c r="D23" s="1" t="s">
        <v>43</v>
      </c>
      <c r="E23" s="1" t="s">
        <v>38</v>
      </c>
      <c r="F23" s="2">
        <v>45297</v>
      </c>
      <c r="G23">
        <v>4</v>
      </c>
      <c r="H23">
        <v>18</v>
      </c>
      <c r="I23">
        <v>72</v>
      </c>
    </row>
    <row r="24" spans="1:9" x14ac:dyDescent="0.35">
      <c r="A24" s="1" t="s">
        <v>60</v>
      </c>
      <c r="B24" s="1" t="s">
        <v>61</v>
      </c>
      <c r="C24" s="1" t="s">
        <v>11</v>
      </c>
      <c r="D24" s="1" t="s">
        <v>12</v>
      </c>
      <c r="E24" s="1" t="s">
        <v>34</v>
      </c>
      <c r="F24" s="2">
        <v>45516</v>
      </c>
      <c r="G24">
        <v>7</v>
      </c>
      <c r="H24">
        <v>17</v>
      </c>
      <c r="I24">
        <v>119</v>
      </c>
    </row>
    <row r="25" spans="1:9" x14ac:dyDescent="0.35">
      <c r="A25" s="1" t="s">
        <v>62</v>
      </c>
      <c r="B25" s="1" t="s">
        <v>63</v>
      </c>
      <c r="C25" s="1" t="s">
        <v>32</v>
      </c>
      <c r="D25" s="1" t="s">
        <v>12</v>
      </c>
      <c r="E25" s="1" t="s">
        <v>13</v>
      </c>
      <c r="F25" s="2">
        <v>44966</v>
      </c>
      <c r="G25">
        <v>6</v>
      </c>
      <c r="H25">
        <v>91</v>
      </c>
      <c r="I25">
        <v>546</v>
      </c>
    </row>
    <row r="26" spans="1:9" x14ac:dyDescent="0.35">
      <c r="A26" s="1" t="s">
        <v>64</v>
      </c>
      <c r="B26" s="1" t="s">
        <v>65</v>
      </c>
      <c r="C26" s="1" t="s">
        <v>11</v>
      </c>
      <c r="D26" s="1" t="s">
        <v>23</v>
      </c>
      <c r="E26" s="1" t="s">
        <v>34</v>
      </c>
      <c r="F26" s="2">
        <v>45314</v>
      </c>
      <c r="G26">
        <v>6</v>
      </c>
      <c r="H26">
        <v>18</v>
      </c>
      <c r="I26">
        <v>108</v>
      </c>
    </row>
    <row r="27" spans="1:9" x14ac:dyDescent="0.35">
      <c r="A27" s="1" t="s">
        <v>66</v>
      </c>
      <c r="B27" s="1" t="s">
        <v>67</v>
      </c>
      <c r="C27" s="1" t="s">
        <v>32</v>
      </c>
      <c r="D27" s="1" t="s">
        <v>12</v>
      </c>
      <c r="E27" s="1" t="s">
        <v>17</v>
      </c>
      <c r="F27" s="2">
        <v>45396</v>
      </c>
      <c r="G27">
        <v>5</v>
      </c>
      <c r="H27">
        <v>88</v>
      </c>
      <c r="I27">
        <v>440</v>
      </c>
    </row>
    <row r="28" spans="1:9" x14ac:dyDescent="0.35">
      <c r="A28" s="1" t="s">
        <v>68</v>
      </c>
      <c r="B28" s="1" t="s">
        <v>69</v>
      </c>
      <c r="C28" s="1" t="s">
        <v>20</v>
      </c>
      <c r="D28" s="1" t="s">
        <v>12</v>
      </c>
      <c r="E28" s="1" t="s">
        <v>17</v>
      </c>
      <c r="F28" s="2">
        <v>45599</v>
      </c>
      <c r="G28">
        <v>4</v>
      </c>
      <c r="H28">
        <v>347</v>
      </c>
      <c r="I28">
        <v>1388</v>
      </c>
    </row>
    <row r="29" spans="1:9" x14ac:dyDescent="0.35">
      <c r="A29" s="1" t="s">
        <v>70</v>
      </c>
      <c r="B29" s="1" t="s">
        <v>71</v>
      </c>
      <c r="C29" s="1" t="s">
        <v>20</v>
      </c>
      <c r="D29" s="1" t="s">
        <v>12</v>
      </c>
      <c r="E29" s="1" t="s">
        <v>38</v>
      </c>
      <c r="F29" s="2">
        <v>45152</v>
      </c>
      <c r="G29">
        <v>1</v>
      </c>
      <c r="H29">
        <v>343</v>
      </c>
      <c r="I29">
        <v>343</v>
      </c>
    </row>
    <row r="30" spans="1:9" x14ac:dyDescent="0.35">
      <c r="A30" s="1" t="s">
        <v>72</v>
      </c>
      <c r="B30" s="1" t="s">
        <v>15</v>
      </c>
      <c r="C30" s="1" t="s">
        <v>20</v>
      </c>
      <c r="D30" s="1" t="s">
        <v>12</v>
      </c>
      <c r="E30" s="1" t="s">
        <v>17</v>
      </c>
      <c r="F30" s="2">
        <v>45177</v>
      </c>
      <c r="G30">
        <v>0</v>
      </c>
      <c r="H30">
        <v>359</v>
      </c>
      <c r="I30">
        <v>0</v>
      </c>
    </row>
    <row r="31" spans="1:9" x14ac:dyDescent="0.35">
      <c r="A31" s="1" t="s">
        <v>73</v>
      </c>
      <c r="B31" s="1" t="s">
        <v>29</v>
      </c>
      <c r="C31" s="1" t="s">
        <v>20</v>
      </c>
      <c r="D31" s="1" t="s">
        <v>43</v>
      </c>
      <c r="E31" s="1" t="s">
        <v>17</v>
      </c>
      <c r="F31" s="2">
        <v>45071</v>
      </c>
      <c r="G31">
        <v>4</v>
      </c>
      <c r="H31">
        <v>342</v>
      </c>
      <c r="I31">
        <v>1368</v>
      </c>
    </row>
    <row r="32" spans="1:9" x14ac:dyDescent="0.35">
      <c r="A32" s="1" t="s">
        <v>74</v>
      </c>
      <c r="B32" s="1" t="s">
        <v>25</v>
      </c>
      <c r="C32" s="1" t="s">
        <v>16</v>
      </c>
      <c r="D32" s="1" t="s">
        <v>12</v>
      </c>
      <c r="E32" s="1" t="s">
        <v>13</v>
      </c>
      <c r="F32" s="2">
        <v>45359</v>
      </c>
      <c r="G32">
        <v>8</v>
      </c>
      <c r="H32">
        <v>1196</v>
      </c>
      <c r="I32">
        <v>9568</v>
      </c>
    </row>
    <row r="33" spans="1:9" x14ac:dyDescent="0.35">
      <c r="A33" s="1" t="s">
        <v>75</v>
      </c>
      <c r="B33" s="1" t="s">
        <v>76</v>
      </c>
      <c r="C33" s="1" t="s">
        <v>16</v>
      </c>
      <c r="D33" s="1" t="s">
        <v>43</v>
      </c>
      <c r="E33" s="1" t="s">
        <v>38</v>
      </c>
      <c r="F33" s="2">
        <v>45505</v>
      </c>
      <c r="G33">
        <v>10</v>
      </c>
      <c r="H33">
        <v>1205</v>
      </c>
      <c r="I33">
        <v>12050</v>
      </c>
    </row>
    <row r="34" spans="1:9" x14ac:dyDescent="0.35">
      <c r="A34" s="1" t="s">
        <v>77</v>
      </c>
      <c r="B34" s="1" t="s">
        <v>27</v>
      </c>
      <c r="C34" s="1" t="s">
        <v>32</v>
      </c>
      <c r="D34" s="1" t="s">
        <v>43</v>
      </c>
      <c r="E34" s="1" t="s">
        <v>13</v>
      </c>
      <c r="F34" s="2">
        <v>45632</v>
      </c>
      <c r="G34">
        <v>0</v>
      </c>
      <c r="H34">
        <v>75</v>
      </c>
      <c r="I34">
        <v>0</v>
      </c>
    </row>
    <row r="35" spans="1:9" x14ac:dyDescent="0.35">
      <c r="A35" s="1" t="s">
        <v>78</v>
      </c>
      <c r="B35" s="1" t="s">
        <v>65</v>
      </c>
      <c r="C35" s="1" t="s">
        <v>16</v>
      </c>
      <c r="D35" s="1" t="s">
        <v>23</v>
      </c>
      <c r="E35" s="1" t="s">
        <v>38</v>
      </c>
      <c r="F35" s="2">
        <v>45118</v>
      </c>
      <c r="G35">
        <v>7</v>
      </c>
      <c r="H35">
        <v>1192</v>
      </c>
      <c r="I35">
        <v>8344</v>
      </c>
    </row>
    <row r="36" spans="1:9" x14ac:dyDescent="0.35">
      <c r="A36" s="1" t="s">
        <v>79</v>
      </c>
      <c r="B36" s="1" t="s">
        <v>80</v>
      </c>
      <c r="C36" s="1" t="s">
        <v>32</v>
      </c>
      <c r="D36" s="1" t="s">
        <v>12</v>
      </c>
      <c r="E36" s="1" t="s">
        <v>34</v>
      </c>
      <c r="F36" s="2">
        <v>45233</v>
      </c>
      <c r="G36">
        <v>3</v>
      </c>
      <c r="H36">
        <v>90</v>
      </c>
      <c r="I36">
        <v>270</v>
      </c>
    </row>
    <row r="37" spans="1:9" x14ac:dyDescent="0.35">
      <c r="A37" s="1" t="s">
        <v>81</v>
      </c>
      <c r="B37" s="1" t="s">
        <v>42</v>
      </c>
      <c r="C37" s="1" t="s">
        <v>32</v>
      </c>
      <c r="D37" s="1" t="s">
        <v>12</v>
      </c>
      <c r="E37" s="1" t="s">
        <v>34</v>
      </c>
      <c r="F37" s="2">
        <v>45219</v>
      </c>
      <c r="G37">
        <v>0</v>
      </c>
      <c r="H37">
        <v>75</v>
      </c>
      <c r="I37">
        <v>0</v>
      </c>
    </row>
    <row r="38" spans="1:9" x14ac:dyDescent="0.35">
      <c r="A38" s="1" t="s">
        <v>82</v>
      </c>
      <c r="B38" s="1" t="s">
        <v>47</v>
      </c>
      <c r="C38" s="1" t="s">
        <v>16</v>
      </c>
      <c r="D38" s="1" t="s">
        <v>12</v>
      </c>
      <c r="E38" s="1" t="s">
        <v>13</v>
      </c>
      <c r="F38" s="2">
        <v>45345</v>
      </c>
      <c r="G38">
        <v>1</v>
      </c>
      <c r="H38">
        <v>1203</v>
      </c>
      <c r="I38">
        <v>1203</v>
      </c>
    </row>
    <row r="39" spans="1:9" x14ac:dyDescent="0.35">
      <c r="A39" s="1" t="s">
        <v>83</v>
      </c>
      <c r="B39" s="1" t="s">
        <v>84</v>
      </c>
      <c r="C39" s="1" t="s">
        <v>20</v>
      </c>
      <c r="D39" s="1" t="s">
        <v>43</v>
      </c>
      <c r="E39" s="1" t="s">
        <v>34</v>
      </c>
      <c r="F39" s="2">
        <v>45336</v>
      </c>
      <c r="G39">
        <v>5</v>
      </c>
      <c r="H39">
        <v>357</v>
      </c>
      <c r="I39">
        <v>1785</v>
      </c>
    </row>
    <row r="40" spans="1:9" x14ac:dyDescent="0.35">
      <c r="A40" s="1" t="s">
        <v>85</v>
      </c>
      <c r="B40" s="1" t="s">
        <v>86</v>
      </c>
      <c r="C40" s="1" t="s">
        <v>32</v>
      </c>
      <c r="D40" s="1" t="s">
        <v>23</v>
      </c>
      <c r="E40" s="1" t="s">
        <v>38</v>
      </c>
      <c r="F40" s="2">
        <v>45043</v>
      </c>
      <c r="G40">
        <v>6</v>
      </c>
      <c r="H40">
        <v>85</v>
      </c>
      <c r="I40">
        <v>510</v>
      </c>
    </row>
    <row r="41" spans="1:9" x14ac:dyDescent="0.35">
      <c r="A41" s="1" t="s">
        <v>87</v>
      </c>
      <c r="B41" s="1" t="s">
        <v>88</v>
      </c>
      <c r="C41" s="1" t="s">
        <v>32</v>
      </c>
      <c r="D41" s="1" t="s">
        <v>23</v>
      </c>
      <c r="E41" s="1" t="s">
        <v>34</v>
      </c>
      <c r="F41" s="2">
        <v>45588</v>
      </c>
      <c r="G41">
        <v>8</v>
      </c>
      <c r="H41">
        <v>82</v>
      </c>
      <c r="I41">
        <v>656</v>
      </c>
    </row>
    <row r="42" spans="1:9" x14ac:dyDescent="0.35">
      <c r="A42" s="1" t="s">
        <v>89</v>
      </c>
      <c r="B42" s="1" t="s">
        <v>86</v>
      </c>
      <c r="C42" s="1" t="s">
        <v>32</v>
      </c>
      <c r="D42" s="1" t="s">
        <v>12</v>
      </c>
      <c r="E42" s="1" t="s">
        <v>38</v>
      </c>
      <c r="F42" s="2">
        <v>45130</v>
      </c>
      <c r="G42">
        <v>9</v>
      </c>
      <c r="H42">
        <v>89</v>
      </c>
      <c r="I42">
        <v>801</v>
      </c>
    </row>
    <row r="43" spans="1:9" x14ac:dyDescent="0.35">
      <c r="A43" s="1" t="s">
        <v>90</v>
      </c>
      <c r="B43" s="1" t="s">
        <v>67</v>
      </c>
      <c r="C43" s="1" t="s">
        <v>11</v>
      </c>
      <c r="D43" s="1" t="s">
        <v>23</v>
      </c>
      <c r="E43" s="1" t="s">
        <v>17</v>
      </c>
      <c r="F43" s="2">
        <v>44981</v>
      </c>
      <c r="G43">
        <v>9</v>
      </c>
      <c r="H43">
        <v>18</v>
      </c>
      <c r="I43">
        <v>162</v>
      </c>
    </row>
    <row r="44" spans="1:9" x14ac:dyDescent="0.35">
      <c r="A44" s="1" t="s">
        <v>91</v>
      </c>
      <c r="B44" s="1" t="s">
        <v>27</v>
      </c>
      <c r="C44" s="1" t="s">
        <v>16</v>
      </c>
      <c r="D44" s="1" t="s">
        <v>12</v>
      </c>
      <c r="E44" s="1" t="s">
        <v>34</v>
      </c>
      <c r="F44" s="2">
        <v>45048</v>
      </c>
      <c r="G44">
        <v>2</v>
      </c>
      <c r="H44">
        <v>1208</v>
      </c>
      <c r="I44">
        <v>2416</v>
      </c>
    </row>
    <row r="45" spans="1:9" x14ac:dyDescent="0.35">
      <c r="A45" s="1" t="s">
        <v>92</v>
      </c>
      <c r="B45" s="1" t="s">
        <v>93</v>
      </c>
      <c r="C45" s="1" t="s">
        <v>16</v>
      </c>
      <c r="D45" s="1" t="s">
        <v>23</v>
      </c>
      <c r="E45" s="1" t="s">
        <v>13</v>
      </c>
      <c r="F45" s="2">
        <v>45142</v>
      </c>
      <c r="G45">
        <v>5</v>
      </c>
      <c r="H45">
        <v>1197</v>
      </c>
      <c r="I45">
        <v>5985</v>
      </c>
    </row>
    <row r="46" spans="1:9" x14ac:dyDescent="0.35">
      <c r="A46" s="1" t="s">
        <v>94</v>
      </c>
      <c r="B46" s="1" t="s">
        <v>65</v>
      </c>
      <c r="C46" s="1" t="s">
        <v>11</v>
      </c>
      <c r="D46" s="1" t="s">
        <v>43</v>
      </c>
      <c r="E46" s="1" t="s">
        <v>38</v>
      </c>
      <c r="F46" s="2">
        <v>45519</v>
      </c>
      <c r="G46">
        <v>10</v>
      </c>
      <c r="H46">
        <v>0</v>
      </c>
      <c r="I46">
        <v>0</v>
      </c>
    </row>
    <row r="47" spans="1:9" x14ac:dyDescent="0.35">
      <c r="A47" s="1" t="s">
        <v>95</v>
      </c>
      <c r="B47" s="1" t="s">
        <v>42</v>
      </c>
      <c r="C47" s="1" t="s">
        <v>16</v>
      </c>
      <c r="D47" s="1" t="s">
        <v>12</v>
      </c>
      <c r="E47" s="1" t="s">
        <v>38</v>
      </c>
      <c r="F47" s="2">
        <v>45022</v>
      </c>
      <c r="G47">
        <v>5</v>
      </c>
      <c r="H47">
        <v>1204</v>
      </c>
      <c r="I47">
        <v>6020</v>
      </c>
    </row>
    <row r="48" spans="1:9" x14ac:dyDescent="0.35">
      <c r="A48" s="1" t="s">
        <v>96</v>
      </c>
      <c r="B48" s="1" t="s">
        <v>42</v>
      </c>
      <c r="C48" s="1" t="s">
        <v>11</v>
      </c>
      <c r="D48" s="1" t="s">
        <v>43</v>
      </c>
      <c r="E48" s="1" t="s">
        <v>34</v>
      </c>
      <c r="F48" s="2">
        <v>44975</v>
      </c>
      <c r="G48">
        <v>5</v>
      </c>
      <c r="H48">
        <v>33</v>
      </c>
      <c r="I48">
        <v>165</v>
      </c>
    </row>
    <row r="49" spans="1:9" x14ac:dyDescent="0.35">
      <c r="A49" s="1" t="s">
        <v>97</v>
      </c>
      <c r="B49" s="1" t="s">
        <v>93</v>
      </c>
      <c r="C49" s="1" t="s">
        <v>20</v>
      </c>
      <c r="D49" s="1" t="s">
        <v>23</v>
      </c>
      <c r="E49" s="1" t="s">
        <v>38</v>
      </c>
      <c r="F49" s="2">
        <v>45553</v>
      </c>
      <c r="G49">
        <v>1</v>
      </c>
      <c r="H49">
        <v>358</v>
      </c>
      <c r="I49">
        <v>358</v>
      </c>
    </row>
    <row r="50" spans="1:9" x14ac:dyDescent="0.35">
      <c r="A50" s="1" t="s">
        <v>98</v>
      </c>
      <c r="B50" s="1" t="s">
        <v>99</v>
      </c>
      <c r="C50" s="1" t="s">
        <v>11</v>
      </c>
      <c r="D50" s="1" t="s">
        <v>43</v>
      </c>
      <c r="E50" s="1" t="s">
        <v>34</v>
      </c>
      <c r="F50" s="2">
        <v>45556</v>
      </c>
      <c r="G50">
        <v>0</v>
      </c>
      <c r="H50">
        <v>30</v>
      </c>
      <c r="I50">
        <v>0</v>
      </c>
    </row>
    <row r="51" spans="1:9" x14ac:dyDescent="0.35">
      <c r="A51" s="1" t="s">
        <v>100</v>
      </c>
      <c r="B51" s="1" t="s">
        <v>101</v>
      </c>
      <c r="C51" s="1" t="s">
        <v>16</v>
      </c>
      <c r="D51" s="1" t="s">
        <v>12</v>
      </c>
      <c r="E51" s="1" t="s">
        <v>13</v>
      </c>
      <c r="F51" s="2">
        <v>45457</v>
      </c>
      <c r="G51">
        <v>6</v>
      </c>
      <c r="H51">
        <v>1202</v>
      </c>
      <c r="I51">
        <v>7212</v>
      </c>
    </row>
    <row r="52" spans="1:9" x14ac:dyDescent="0.35">
      <c r="A52" s="1" t="s">
        <v>102</v>
      </c>
      <c r="B52" s="1" t="s">
        <v>103</v>
      </c>
      <c r="C52" s="1" t="s">
        <v>32</v>
      </c>
      <c r="D52" s="1" t="s">
        <v>43</v>
      </c>
      <c r="E52" s="1" t="s">
        <v>17</v>
      </c>
      <c r="F52" s="2">
        <v>45245</v>
      </c>
      <c r="G52">
        <v>2</v>
      </c>
      <c r="H52">
        <v>95</v>
      </c>
      <c r="I52">
        <v>190</v>
      </c>
    </row>
    <row r="53" spans="1:9" x14ac:dyDescent="0.35">
      <c r="A53" s="1" t="s">
        <v>104</v>
      </c>
      <c r="B53" s="1" t="s">
        <v>71</v>
      </c>
      <c r="C53" s="1" t="s">
        <v>20</v>
      </c>
      <c r="D53" s="1" t="s">
        <v>12</v>
      </c>
      <c r="E53" s="1" t="s">
        <v>34</v>
      </c>
      <c r="F53" s="2">
        <v>45043</v>
      </c>
      <c r="G53">
        <v>9</v>
      </c>
      <c r="H53">
        <v>353</v>
      </c>
      <c r="I53">
        <v>3177</v>
      </c>
    </row>
    <row r="54" spans="1:9" x14ac:dyDescent="0.35">
      <c r="A54" s="1" t="s">
        <v>105</v>
      </c>
      <c r="B54" s="1" t="s">
        <v>86</v>
      </c>
      <c r="C54" s="1" t="s">
        <v>20</v>
      </c>
      <c r="D54" s="1" t="s">
        <v>12</v>
      </c>
      <c r="E54" s="1" t="s">
        <v>17</v>
      </c>
      <c r="F54" s="2">
        <v>45216</v>
      </c>
      <c r="G54">
        <v>6</v>
      </c>
      <c r="H54">
        <v>0</v>
      </c>
      <c r="I54">
        <v>0</v>
      </c>
    </row>
    <row r="55" spans="1:9" x14ac:dyDescent="0.35">
      <c r="A55" s="1" t="s">
        <v>106</v>
      </c>
      <c r="B55" s="1" t="s">
        <v>19</v>
      </c>
      <c r="C55" s="1" t="s">
        <v>20</v>
      </c>
      <c r="D55" s="1" t="s">
        <v>12</v>
      </c>
      <c r="E55" s="1" t="s">
        <v>38</v>
      </c>
      <c r="F55" s="2">
        <v>45522</v>
      </c>
      <c r="G55">
        <v>4</v>
      </c>
      <c r="H55">
        <v>0</v>
      </c>
      <c r="I55">
        <v>0</v>
      </c>
    </row>
    <row r="56" spans="1:9" x14ac:dyDescent="0.35">
      <c r="A56" s="1" t="s">
        <v>107</v>
      </c>
      <c r="B56" s="1" t="s">
        <v>108</v>
      </c>
      <c r="C56" s="1" t="s">
        <v>16</v>
      </c>
      <c r="D56" s="1" t="s">
        <v>23</v>
      </c>
      <c r="E56" s="1" t="s">
        <v>34</v>
      </c>
      <c r="F56" s="2">
        <v>45642</v>
      </c>
      <c r="G56">
        <v>9</v>
      </c>
      <c r="H56">
        <v>0</v>
      </c>
      <c r="I56">
        <v>0</v>
      </c>
    </row>
    <row r="57" spans="1:9" x14ac:dyDescent="0.35">
      <c r="A57" s="1" t="s">
        <v>109</v>
      </c>
      <c r="B57" s="1" t="s">
        <v>84</v>
      </c>
      <c r="C57" s="1" t="s">
        <v>20</v>
      </c>
      <c r="D57" s="1" t="s">
        <v>12</v>
      </c>
      <c r="E57" s="1" t="s">
        <v>38</v>
      </c>
      <c r="F57" s="2">
        <v>45184</v>
      </c>
      <c r="G57">
        <v>2</v>
      </c>
      <c r="H57">
        <v>348</v>
      </c>
      <c r="I57">
        <v>696</v>
      </c>
    </row>
    <row r="58" spans="1:9" x14ac:dyDescent="0.35">
      <c r="A58" s="1" t="s">
        <v>110</v>
      </c>
      <c r="B58" s="1" t="s">
        <v>111</v>
      </c>
      <c r="C58" s="1" t="s">
        <v>20</v>
      </c>
      <c r="D58" s="1" t="s">
        <v>23</v>
      </c>
      <c r="E58" s="1" t="s">
        <v>13</v>
      </c>
      <c r="F58" s="2">
        <v>45619</v>
      </c>
      <c r="G58">
        <v>5</v>
      </c>
      <c r="H58">
        <v>0</v>
      </c>
      <c r="I58">
        <v>0</v>
      </c>
    </row>
    <row r="59" spans="1:9" x14ac:dyDescent="0.35">
      <c r="A59" s="1" t="s">
        <v>112</v>
      </c>
      <c r="B59" s="1" t="s">
        <v>65</v>
      </c>
      <c r="C59" s="1" t="s">
        <v>16</v>
      </c>
      <c r="D59" s="1" t="s">
        <v>43</v>
      </c>
      <c r="E59" s="1" t="s">
        <v>13</v>
      </c>
      <c r="F59" s="2">
        <v>45374</v>
      </c>
      <c r="G59">
        <v>6</v>
      </c>
      <c r="H59">
        <v>1194</v>
      </c>
      <c r="I59">
        <v>7164</v>
      </c>
    </row>
    <row r="60" spans="1:9" x14ac:dyDescent="0.35">
      <c r="A60" s="1" t="s">
        <v>113</v>
      </c>
      <c r="B60" s="1" t="s">
        <v>108</v>
      </c>
      <c r="C60" s="1" t="s">
        <v>11</v>
      </c>
      <c r="D60" s="1" t="s">
        <v>12</v>
      </c>
      <c r="E60" s="1" t="s">
        <v>34</v>
      </c>
      <c r="F60" s="2">
        <v>45342</v>
      </c>
      <c r="G60">
        <v>8</v>
      </c>
      <c r="H60">
        <v>15</v>
      </c>
      <c r="I60">
        <v>120</v>
      </c>
    </row>
    <row r="61" spans="1:9" x14ac:dyDescent="0.35">
      <c r="A61" s="1" t="s">
        <v>114</v>
      </c>
      <c r="B61" s="1" t="s">
        <v>115</v>
      </c>
      <c r="C61" s="1" t="s">
        <v>20</v>
      </c>
      <c r="D61" s="1" t="s">
        <v>23</v>
      </c>
      <c r="E61" s="1" t="s">
        <v>17</v>
      </c>
      <c r="F61" s="2">
        <v>45575</v>
      </c>
      <c r="G61">
        <v>8</v>
      </c>
      <c r="H61">
        <v>352</v>
      </c>
      <c r="I61">
        <v>2816</v>
      </c>
    </row>
    <row r="62" spans="1:9" x14ac:dyDescent="0.35">
      <c r="A62" s="1" t="s">
        <v>116</v>
      </c>
      <c r="B62" s="1" t="s">
        <v>117</v>
      </c>
      <c r="C62" s="1" t="s">
        <v>32</v>
      </c>
      <c r="D62" s="1" t="s">
        <v>12</v>
      </c>
      <c r="E62" s="1" t="s">
        <v>13</v>
      </c>
      <c r="F62" s="2">
        <v>45609</v>
      </c>
      <c r="G62">
        <v>0</v>
      </c>
      <c r="H62">
        <v>84</v>
      </c>
      <c r="I62">
        <v>0</v>
      </c>
    </row>
    <row r="63" spans="1:9" x14ac:dyDescent="0.35">
      <c r="A63" s="1" t="s">
        <v>118</v>
      </c>
      <c r="B63" s="1" t="s">
        <v>119</v>
      </c>
      <c r="C63" s="1" t="s">
        <v>32</v>
      </c>
      <c r="D63" s="1" t="s">
        <v>12</v>
      </c>
      <c r="E63" s="1" t="s">
        <v>17</v>
      </c>
      <c r="F63" s="2">
        <v>45234</v>
      </c>
      <c r="G63">
        <v>5</v>
      </c>
      <c r="H63">
        <v>88</v>
      </c>
      <c r="I63">
        <v>440</v>
      </c>
    </row>
    <row r="64" spans="1:9" x14ac:dyDescent="0.35">
      <c r="A64" s="1" t="s">
        <v>120</v>
      </c>
      <c r="B64" s="1" t="s">
        <v>59</v>
      </c>
      <c r="C64" s="1" t="s">
        <v>32</v>
      </c>
      <c r="D64" s="1" t="s">
        <v>23</v>
      </c>
      <c r="E64" s="1" t="s">
        <v>17</v>
      </c>
      <c r="F64" s="2">
        <v>45360</v>
      </c>
      <c r="G64">
        <v>2</v>
      </c>
      <c r="H64">
        <v>77</v>
      </c>
      <c r="I64">
        <v>154</v>
      </c>
    </row>
    <row r="65" spans="1:9" x14ac:dyDescent="0.35">
      <c r="A65" s="1" t="s">
        <v>121</v>
      </c>
      <c r="B65" s="1" t="s">
        <v>59</v>
      </c>
      <c r="C65" s="1" t="s">
        <v>20</v>
      </c>
      <c r="D65" s="1" t="s">
        <v>23</v>
      </c>
      <c r="E65" s="1" t="s">
        <v>38</v>
      </c>
      <c r="F65" s="2">
        <v>45348</v>
      </c>
      <c r="G65">
        <v>5</v>
      </c>
      <c r="H65">
        <v>360</v>
      </c>
      <c r="I65">
        <v>1800</v>
      </c>
    </row>
    <row r="66" spans="1:9" x14ac:dyDescent="0.35">
      <c r="A66" s="1" t="s">
        <v>122</v>
      </c>
      <c r="B66" s="1" t="s">
        <v>84</v>
      </c>
      <c r="C66" s="1" t="s">
        <v>32</v>
      </c>
      <c r="D66" s="1" t="s">
        <v>12</v>
      </c>
      <c r="E66" s="1" t="s">
        <v>17</v>
      </c>
      <c r="F66" s="2">
        <v>45599</v>
      </c>
      <c r="G66">
        <v>1</v>
      </c>
      <c r="H66">
        <v>0</v>
      </c>
      <c r="I66">
        <v>0</v>
      </c>
    </row>
    <row r="67" spans="1:9" x14ac:dyDescent="0.35">
      <c r="A67" s="1" t="s">
        <v>123</v>
      </c>
      <c r="B67" s="1" t="s">
        <v>93</v>
      </c>
      <c r="C67" s="1" t="s">
        <v>11</v>
      </c>
      <c r="D67" s="1" t="s">
        <v>43</v>
      </c>
      <c r="E67" s="1" t="s">
        <v>38</v>
      </c>
      <c r="F67" s="2">
        <v>45516</v>
      </c>
      <c r="G67">
        <v>10</v>
      </c>
      <c r="H67">
        <v>23</v>
      </c>
      <c r="I67">
        <v>230</v>
      </c>
    </row>
    <row r="68" spans="1:9" x14ac:dyDescent="0.35">
      <c r="A68" s="1" t="s">
        <v>124</v>
      </c>
      <c r="B68" s="1" t="s">
        <v>57</v>
      </c>
      <c r="C68" s="1" t="s">
        <v>11</v>
      </c>
      <c r="D68" s="1" t="s">
        <v>23</v>
      </c>
      <c r="E68" s="1" t="s">
        <v>17</v>
      </c>
      <c r="F68" s="2">
        <v>45344</v>
      </c>
      <c r="G68">
        <v>2</v>
      </c>
      <c r="H68">
        <v>0</v>
      </c>
      <c r="I68">
        <v>0</v>
      </c>
    </row>
    <row r="69" spans="1:9" x14ac:dyDescent="0.35">
      <c r="A69" s="1" t="s">
        <v>125</v>
      </c>
      <c r="B69" s="1" t="s">
        <v>126</v>
      </c>
      <c r="C69" s="1" t="s">
        <v>16</v>
      </c>
      <c r="D69" s="1" t="s">
        <v>12</v>
      </c>
      <c r="E69" s="1" t="s">
        <v>34</v>
      </c>
      <c r="F69" s="2">
        <v>45085</v>
      </c>
      <c r="G69">
        <v>4</v>
      </c>
      <c r="H69">
        <v>1197</v>
      </c>
      <c r="I69">
        <v>4788</v>
      </c>
    </row>
    <row r="70" spans="1:9" x14ac:dyDescent="0.35">
      <c r="A70" s="1" t="s">
        <v>127</v>
      </c>
      <c r="B70" s="1" t="s">
        <v>128</v>
      </c>
      <c r="C70" s="1" t="s">
        <v>32</v>
      </c>
      <c r="D70" s="1" t="s">
        <v>12</v>
      </c>
      <c r="E70" s="1" t="s">
        <v>13</v>
      </c>
      <c r="F70" s="2">
        <v>45369</v>
      </c>
      <c r="G70">
        <v>1</v>
      </c>
      <c r="H70">
        <v>82</v>
      </c>
      <c r="I70">
        <v>82</v>
      </c>
    </row>
    <row r="71" spans="1:9" x14ac:dyDescent="0.35">
      <c r="A71" s="1" t="s">
        <v>129</v>
      </c>
      <c r="B71" s="1" t="s">
        <v>130</v>
      </c>
      <c r="C71" s="1" t="s">
        <v>20</v>
      </c>
      <c r="D71" s="1" t="s">
        <v>12</v>
      </c>
      <c r="E71" s="1" t="s">
        <v>13</v>
      </c>
      <c r="F71" s="2">
        <v>45629</v>
      </c>
      <c r="G71">
        <v>10</v>
      </c>
      <c r="H71">
        <v>356</v>
      </c>
      <c r="I71">
        <v>3560</v>
      </c>
    </row>
    <row r="72" spans="1:9" x14ac:dyDescent="0.35">
      <c r="A72" s="1" t="s">
        <v>131</v>
      </c>
      <c r="B72" s="1" t="s">
        <v>93</v>
      </c>
      <c r="C72" s="1" t="s">
        <v>20</v>
      </c>
      <c r="D72" s="1" t="s">
        <v>43</v>
      </c>
      <c r="E72" s="1" t="s">
        <v>13</v>
      </c>
      <c r="F72" s="2">
        <v>45129</v>
      </c>
      <c r="G72">
        <v>3</v>
      </c>
      <c r="H72">
        <v>348</v>
      </c>
      <c r="I72">
        <v>1044</v>
      </c>
    </row>
    <row r="73" spans="1:9" x14ac:dyDescent="0.35">
      <c r="A73" s="1" t="s">
        <v>132</v>
      </c>
      <c r="B73" s="1" t="s">
        <v>111</v>
      </c>
      <c r="C73" s="1" t="s">
        <v>32</v>
      </c>
      <c r="D73" s="1" t="s">
        <v>43</v>
      </c>
      <c r="E73" s="1" t="s">
        <v>34</v>
      </c>
      <c r="F73" s="2">
        <v>45555</v>
      </c>
      <c r="G73">
        <v>7</v>
      </c>
      <c r="H73">
        <v>89</v>
      </c>
      <c r="I73">
        <v>623</v>
      </c>
    </row>
    <row r="74" spans="1:9" x14ac:dyDescent="0.35">
      <c r="A74" s="1" t="s">
        <v>133</v>
      </c>
      <c r="B74" s="1" t="s">
        <v>76</v>
      </c>
      <c r="C74" s="1" t="s">
        <v>32</v>
      </c>
      <c r="D74" s="1" t="s">
        <v>23</v>
      </c>
      <c r="E74" s="1" t="s">
        <v>13</v>
      </c>
      <c r="F74" s="2">
        <v>45448</v>
      </c>
      <c r="G74">
        <v>6</v>
      </c>
      <c r="H74">
        <v>92</v>
      </c>
      <c r="I74">
        <v>552</v>
      </c>
    </row>
    <row r="75" spans="1:9" x14ac:dyDescent="0.35">
      <c r="A75" s="1" t="s">
        <v>134</v>
      </c>
      <c r="B75" s="1" t="s">
        <v>57</v>
      </c>
      <c r="C75" s="1" t="s">
        <v>20</v>
      </c>
      <c r="D75" s="1" t="s">
        <v>12</v>
      </c>
      <c r="E75" s="1" t="s">
        <v>34</v>
      </c>
      <c r="F75" s="2">
        <v>45432</v>
      </c>
      <c r="G75">
        <v>2</v>
      </c>
      <c r="H75">
        <v>357</v>
      </c>
      <c r="I75">
        <v>714</v>
      </c>
    </row>
    <row r="76" spans="1:9" x14ac:dyDescent="0.35">
      <c r="A76" s="1" t="s">
        <v>135</v>
      </c>
      <c r="B76" s="1" t="s">
        <v>84</v>
      </c>
      <c r="C76" s="1" t="s">
        <v>20</v>
      </c>
      <c r="D76" s="1" t="s">
        <v>12</v>
      </c>
      <c r="E76" s="1" t="s">
        <v>17</v>
      </c>
      <c r="F76" s="2">
        <v>45587</v>
      </c>
      <c r="G76">
        <v>0</v>
      </c>
      <c r="H76">
        <v>345</v>
      </c>
      <c r="I76">
        <v>0</v>
      </c>
    </row>
    <row r="77" spans="1:9" x14ac:dyDescent="0.35">
      <c r="A77" s="1" t="s">
        <v>136</v>
      </c>
      <c r="B77" s="1" t="s">
        <v>137</v>
      </c>
      <c r="C77" s="1" t="s">
        <v>16</v>
      </c>
      <c r="D77" s="1" t="s">
        <v>12</v>
      </c>
      <c r="E77" s="1" t="s">
        <v>34</v>
      </c>
      <c r="F77" s="2">
        <v>45277</v>
      </c>
      <c r="G77">
        <v>10</v>
      </c>
      <c r="H77">
        <v>1191</v>
      </c>
      <c r="I77">
        <v>11910</v>
      </c>
    </row>
    <row r="78" spans="1:9" x14ac:dyDescent="0.35">
      <c r="A78" s="1" t="s">
        <v>138</v>
      </c>
      <c r="B78" s="1" t="s">
        <v>139</v>
      </c>
      <c r="C78" s="1" t="s">
        <v>16</v>
      </c>
      <c r="D78" s="1" t="s">
        <v>23</v>
      </c>
      <c r="E78" s="1" t="s">
        <v>17</v>
      </c>
      <c r="F78" s="2">
        <v>45526</v>
      </c>
      <c r="G78">
        <v>6</v>
      </c>
      <c r="H78">
        <v>1199</v>
      </c>
      <c r="I78">
        <v>7194</v>
      </c>
    </row>
    <row r="79" spans="1:9" x14ac:dyDescent="0.35">
      <c r="A79" s="1" t="s">
        <v>140</v>
      </c>
      <c r="B79" s="1" t="s">
        <v>115</v>
      </c>
      <c r="C79" s="1" t="s">
        <v>16</v>
      </c>
      <c r="D79" s="1" t="s">
        <v>12</v>
      </c>
      <c r="E79" s="1" t="s">
        <v>17</v>
      </c>
      <c r="F79" s="2">
        <v>45026</v>
      </c>
      <c r="G79">
        <v>8</v>
      </c>
      <c r="H79">
        <v>1195</v>
      </c>
      <c r="I79">
        <v>9560</v>
      </c>
    </row>
    <row r="80" spans="1:9" x14ac:dyDescent="0.35">
      <c r="A80" s="1" t="s">
        <v>141</v>
      </c>
      <c r="B80" s="1" t="s">
        <v>137</v>
      </c>
      <c r="C80" s="1" t="s">
        <v>32</v>
      </c>
      <c r="D80" s="1" t="s">
        <v>12</v>
      </c>
      <c r="E80" s="1" t="s">
        <v>13</v>
      </c>
      <c r="F80" s="2">
        <v>45135</v>
      </c>
      <c r="G80">
        <v>10</v>
      </c>
      <c r="H80">
        <v>95</v>
      </c>
      <c r="I80">
        <v>950</v>
      </c>
    </row>
    <row r="81" spans="1:9" x14ac:dyDescent="0.35">
      <c r="A81" s="1" t="s">
        <v>142</v>
      </c>
      <c r="B81" s="1" t="s">
        <v>22</v>
      </c>
      <c r="C81" s="1" t="s">
        <v>32</v>
      </c>
      <c r="D81" s="1" t="s">
        <v>12</v>
      </c>
      <c r="E81" s="1" t="s">
        <v>34</v>
      </c>
      <c r="F81" s="2">
        <v>45580</v>
      </c>
      <c r="G81">
        <v>2</v>
      </c>
      <c r="H81">
        <v>84</v>
      </c>
      <c r="I81">
        <v>168</v>
      </c>
    </row>
    <row r="82" spans="1:9" x14ac:dyDescent="0.35">
      <c r="A82" s="1" t="s">
        <v>143</v>
      </c>
      <c r="B82" s="1" t="s">
        <v>144</v>
      </c>
      <c r="C82" s="1" t="s">
        <v>16</v>
      </c>
      <c r="D82" s="1" t="s">
        <v>12</v>
      </c>
      <c r="E82" s="1" t="s">
        <v>34</v>
      </c>
      <c r="F82" s="2">
        <v>45089</v>
      </c>
      <c r="G82">
        <v>2</v>
      </c>
      <c r="H82">
        <v>1210</v>
      </c>
      <c r="I82">
        <v>2420</v>
      </c>
    </row>
    <row r="83" spans="1:9" x14ac:dyDescent="0.35">
      <c r="A83" s="1" t="s">
        <v>145</v>
      </c>
      <c r="B83" s="1" t="s">
        <v>86</v>
      </c>
      <c r="C83" s="1" t="s">
        <v>20</v>
      </c>
      <c r="D83" s="1" t="s">
        <v>23</v>
      </c>
      <c r="E83" s="1" t="s">
        <v>17</v>
      </c>
      <c r="F83" s="2">
        <v>45241</v>
      </c>
      <c r="G83">
        <v>6</v>
      </c>
      <c r="H83">
        <v>349</v>
      </c>
      <c r="I83">
        <v>2094</v>
      </c>
    </row>
    <row r="84" spans="1:9" x14ac:dyDescent="0.35">
      <c r="A84" s="1" t="s">
        <v>146</v>
      </c>
      <c r="B84" s="1" t="s">
        <v>86</v>
      </c>
      <c r="C84" s="1" t="s">
        <v>32</v>
      </c>
      <c r="D84" s="1" t="s">
        <v>12</v>
      </c>
      <c r="E84" s="1" t="s">
        <v>38</v>
      </c>
      <c r="F84" s="2">
        <v>45258</v>
      </c>
      <c r="G84">
        <v>1</v>
      </c>
      <c r="H84">
        <v>93</v>
      </c>
      <c r="I84">
        <v>93</v>
      </c>
    </row>
    <row r="85" spans="1:9" x14ac:dyDescent="0.35">
      <c r="A85" s="1" t="s">
        <v>147</v>
      </c>
      <c r="B85" s="1" t="s">
        <v>119</v>
      </c>
      <c r="C85" s="1" t="s">
        <v>16</v>
      </c>
      <c r="D85" s="1" t="s">
        <v>43</v>
      </c>
      <c r="E85" s="1" t="s">
        <v>13</v>
      </c>
      <c r="F85" s="2">
        <v>45348</v>
      </c>
      <c r="G85">
        <v>4</v>
      </c>
      <c r="H85">
        <v>1204</v>
      </c>
      <c r="I85">
        <v>4816</v>
      </c>
    </row>
    <row r="86" spans="1:9" x14ac:dyDescent="0.35">
      <c r="A86" s="1" t="s">
        <v>148</v>
      </c>
      <c r="B86" s="1" t="s">
        <v>149</v>
      </c>
      <c r="C86" s="1" t="s">
        <v>20</v>
      </c>
      <c r="D86" s="1" t="s">
        <v>23</v>
      </c>
      <c r="E86" s="1" t="s">
        <v>17</v>
      </c>
      <c r="F86" s="2">
        <v>45250</v>
      </c>
      <c r="G86">
        <v>7</v>
      </c>
      <c r="H86">
        <v>359</v>
      </c>
      <c r="I86">
        <v>2513</v>
      </c>
    </row>
    <row r="87" spans="1:9" x14ac:dyDescent="0.35">
      <c r="A87" s="1" t="s">
        <v>150</v>
      </c>
      <c r="B87" s="1" t="s">
        <v>149</v>
      </c>
      <c r="C87" s="1" t="s">
        <v>32</v>
      </c>
      <c r="D87" s="1" t="s">
        <v>23</v>
      </c>
      <c r="E87" s="1" t="s">
        <v>13</v>
      </c>
      <c r="F87" s="2">
        <v>45619</v>
      </c>
      <c r="G87">
        <v>6</v>
      </c>
      <c r="H87">
        <v>91</v>
      </c>
      <c r="I87">
        <v>546</v>
      </c>
    </row>
    <row r="88" spans="1:9" x14ac:dyDescent="0.35">
      <c r="A88" s="1" t="s">
        <v>151</v>
      </c>
      <c r="B88" s="1" t="s">
        <v>65</v>
      </c>
      <c r="C88" s="1" t="s">
        <v>32</v>
      </c>
      <c r="D88" s="1" t="s">
        <v>12</v>
      </c>
      <c r="E88" s="1" t="s">
        <v>34</v>
      </c>
      <c r="F88" s="2">
        <v>45393</v>
      </c>
      <c r="G88">
        <v>2</v>
      </c>
      <c r="H88">
        <v>92</v>
      </c>
      <c r="I88">
        <v>184</v>
      </c>
    </row>
    <row r="89" spans="1:9" x14ac:dyDescent="0.35">
      <c r="A89" s="1" t="s">
        <v>152</v>
      </c>
      <c r="B89" s="1" t="s">
        <v>57</v>
      </c>
      <c r="C89" s="1" t="s">
        <v>11</v>
      </c>
      <c r="D89" s="1" t="s">
        <v>43</v>
      </c>
      <c r="E89" s="1" t="s">
        <v>34</v>
      </c>
      <c r="F89" s="2">
        <v>44991</v>
      </c>
      <c r="G89">
        <v>6</v>
      </c>
      <c r="H89">
        <v>22</v>
      </c>
      <c r="I89">
        <v>132</v>
      </c>
    </row>
    <row r="90" spans="1:9" x14ac:dyDescent="0.35">
      <c r="A90" s="1" t="s">
        <v>153</v>
      </c>
      <c r="B90" s="1" t="s">
        <v>115</v>
      </c>
      <c r="C90" s="1" t="s">
        <v>11</v>
      </c>
      <c r="D90" s="1" t="s">
        <v>12</v>
      </c>
      <c r="E90" s="1" t="s">
        <v>34</v>
      </c>
      <c r="F90" s="2">
        <v>45438</v>
      </c>
      <c r="G90">
        <v>8</v>
      </c>
      <c r="H90">
        <v>24</v>
      </c>
      <c r="I90">
        <v>192</v>
      </c>
    </row>
    <row r="91" spans="1:9" x14ac:dyDescent="0.35">
      <c r="A91" s="1" t="s">
        <v>154</v>
      </c>
      <c r="B91" s="1" t="s">
        <v>76</v>
      </c>
      <c r="C91" s="1" t="s">
        <v>11</v>
      </c>
      <c r="D91" s="1" t="s">
        <v>12</v>
      </c>
      <c r="E91" s="1" t="s">
        <v>13</v>
      </c>
      <c r="F91" s="2">
        <v>45414</v>
      </c>
      <c r="G91">
        <v>2</v>
      </c>
      <c r="H91">
        <v>20</v>
      </c>
      <c r="I91">
        <v>40</v>
      </c>
    </row>
    <row r="92" spans="1:9" x14ac:dyDescent="0.35">
      <c r="A92" s="1" t="s">
        <v>155</v>
      </c>
      <c r="B92" s="1" t="s">
        <v>93</v>
      </c>
      <c r="C92" s="1" t="s">
        <v>11</v>
      </c>
      <c r="D92" s="1" t="s">
        <v>43</v>
      </c>
      <c r="E92" s="1" t="s">
        <v>13</v>
      </c>
      <c r="F92" s="2">
        <v>45330</v>
      </c>
      <c r="G92">
        <v>6</v>
      </c>
      <c r="H92">
        <v>17</v>
      </c>
      <c r="I92">
        <v>102</v>
      </c>
    </row>
    <row r="93" spans="1:9" x14ac:dyDescent="0.35">
      <c r="A93" s="1" t="s">
        <v>156</v>
      </c>
      <c r="B93" s="1" t="s">
        <v>144</v>
      </c>
      <c r="C93" s="1" t="s">
        <v>32</v>
      </c>
      <c r="D93" s="1" t="s">
        <v>12</v>
      </c>
      <c r="E93" s="1" t="s">
        <v>38</v>
      </c>
      <c r="F93" s="2">
        <v>45353</v>
      </c>
      <c r="G93">
        <v>8</v>
      </c>
      <c r="H93">
        <v>75</v>
      </c>
      <c r="I93">
        <v>600</v>
      </c>
    </row>
    <row r="94" spans="1:9" x14ac:dyDescent="0.35">
      <c r="A94" s="1" t="s">
        <v>157</v>
      </c>
      <c r="B94" s="1" t="s">
        <v>10</v>
      </c>
      <c r="C94" s="1" t="s">
        <v>20</v>
      </c>
      <c r="D94" s="1" t="s">
        <v>12</v>
      </c>
      <c r="E94" s="1" t="s">
        <v>38</v>
      </c>
      <c r="F94" s="2">
        <v>45420</v>
      </c>
      <c r="G94">
        <v>8</v>
      </c>
      <c r="H94">
        <v>340</v>
      </c>
      <c r="I94">
        <v>2720</v>
      </c>
    </row>
    <row r="95" spans="1:9" x14ac:dyDescent="0.35">
      <c r="A95" s="1" t="s">
        <v>158</v>
      </c>
      <c r="B95" s="1" t="s">
        <v>71</v>
      </c>
      <c r="C95" s="1" t="s">
        <v>32</v>
      </c>
      <c r="D95" s="1" t="s">
        <v>12</v>
      </c>
      <c r="E95" s="1" t="s">
        <v>17</v>
      </c>
      <c r="F95" s="2">
        <v>45213</v>
      </c>
      <c r="G95">
        <v>9</v>
      </c>
      <c r="H95">
        <v>91</v>
      </c>
      <c r="I95">
        <v>819</v>
      </c>
    </row>
    <row r="96" spans="1:9" x14ac:dyDescent="0.35">
      <c r="A96" s="1" t="s">
        <v>159</v>
      </c>
      <c r="B96" s="1" t="s">
        <v>160</v>
      </c>
      <c r="C96" s="1" t="s">
        <v>16</v>
      </c>
      <c r="D96" s="1" t="s">
        <v>43</v>
      </c>
      <c r="E96" s="1" t="s">
        <v>34</v>
      </c>
      <c r="F96" s="2">
        <v>45086</v>
      </c>
      <c r="G96">
        <v>10</v>
      </c>
      <c r="H96">
        <v>1200</v>
      </c>
      <c r="I96">
        <v>12000</v>
      </c>
    </row>
    <row r="97" spans="1:9" x14ac:dyDescent="0.35">
      <c r="A97" s="1" t="s">
        <v>161</v>
      </c>
      <c r="B97" s="1" t="s">
        <v>49</v>
      </c>
      <c r="C97" s="1" t="s">
        <v>11</v>
      </c>
      <c r="D97" s="1" t="s">
        <v>43</v>
      </c>
      <c r="E97" s="1" t="s">
        <v>13</v>
      </c>
      <c r="F97" s="2">
        <v>45276</v>
      </c>
      <c r="G97">
        <v>1</v>
      </c>
      <c r="H97">
        <v>16</v>
      </c>
      <c r="I97">
        <v>16</v>
      </c>
    </row>
    <row r="98" spans="1:9" x14ac:dyDescent="0.35">
      <c r="A98" s="1" t="s">
        <v>162</v>
      </c>
      <c r="B98" s="1" t="s">
        <v>37</v>
      </c>
      <c r="C98" s="1" t="s">
        <v>20</v>
      </c>
      <c r="D98" s="1" t="s">
        <v>43</v>
      </c>
      <c r="E98" s="1" t="s">
        <v>13</v>
      </c>
      <c r="F98" s="2">
        <v>45048</v>
      </c>
      <c r="G98">
        <v>2</v>
      </c>
      <c r="H98">
        <v>353</v>
      </c>
      <c r="I98">
        <v>706</v>
      </c>
    </row>
    <row r="99" spans="1:9" x14ac:dyDescent="0.35">
      <c r="A99" s="1" t="s">
        <v>163</v>
      </c>
      <c r="B99" s="1" t="s">
        <v>29</v>
      </c>
      <c r="C99" s="1" t="s">
        <v>20</v>
      </c>
      <c r="D99" s="1" t="s">
        <v>23</v>
      </c>
      <c r="E99" s="1" t="s">
        <v>17</v>
      </c>
      <c r="F99" s="2">
        <v>45367</v>
      </c>
      <c r="G99">
        <v>2</v>
      </c>
      <c r="H99">
        <v>345</v>
      </c>
      <c r="I99">
        <v>690</v>
      </c>
    </row>
    <row r="100" spans="1:9" x14ac:dyDescent="0.35">
      <c r="A100" s="1" t="s">
        <v>164</v>
      </c>
      <c r="B100" s="1" t="s">
        <v>63</v>
      </c>
      <c r="C100" s="1" t="s">
        <v>32</v>
      </c>
      <c r="D100" s="1" t="s">
        <v>23</v>
      </c>
      <c r="E100" s="1" t="s">
        <v>38</v>
      </c>
      <c r="F100" s="2">
        <v>45524</v>
      </c>
      <c r="G100">
        <v>6</v>
      </c>
      <c r="H100">
        <v>88</v>
      </c>
      <c r="I100">
        <v>528</v>
      </c>
    </row>
    <row r="101" spans="1:9" x14ac:dyDescent="0.35">
      <c r="A101" s="1" t="s">
        <v>165</v>
      </c>
      <c r="B101" s="1" t="s">
        <v>19</v>
      </c>
      <c r="C101" s="1" t="s">
        <v>32</v>
      </c>
      <c r="D101" s="1" t="s">
        <v>12</v>
      </c>
      <c r="E101" s="1" t="s">
        <v>17</v>
      </c>
      <c r="F101" s="2">
        <v>45296</v>
      </c>
      <c r="G101">
        <v>1</v>
      </c>
      <c r="H101">
        <v>89</v>
      </c>
      <c r="I101">
        <v>89</v>
      </c>
    </row>
    <row r="102" spans="1:9" x14ac:dyDescent="0.35">
      <c r="A102" s="1" t="s">
        <v>166</v>
      </c>
      <c r="B102" s="1" t="s">
        <v>167</v>
      </c>
      <c r="C102" s="1" t="s">
        <v>11</v>
      </c>
      <c r="D102" s="1" t="s">
        <v>23</v>
      </c>
      <c r="E102" s="1" t="s">
        <v>34</v>
      </c>
      <c r="F102" s="2">
        <v>45484</v>
      </c>
      <c r="G102">
        <v>9</v>
      </c>
      <c r="H102">
        <v>23</v>
      </c>
      <c r="I102">
        <v>207</v>
      </c>
    </row>
    <row r="103" spans="1:9" x14ac:dyDescent="0.35">
      <c r="A103" s="1" t="s">
        <v>168</v>
      </c>
      <c r="B103" s="1" t="s">
        <v>169</v>
      </c>
      <c r="C103" s="1" t="s">
        <v>32</v>
      </c>
      <c r="D103" s="1" t="s">
        <v>43</v>
      </c>
      <c r="E103" s="1" t="s">
        <v>38</v>
      </c>
      <c r="F103" s="2">
        <v>45020</v>
      </c>
      <c r="G103">
        <v>2</v>
      </c>
      <c r="H103">
        <v>85</v>
      </c>
      <c r="I103">
        <v>170</v>
      </c>
    </row>
    <row r="104" spans="1:9" x14ac:dyDescent="0.35">
      <c r="A104" s="1" t="s">
        <v>170</v>
      </c>
      <c r="B104" s="1" t="s">
        <v>84</v>
      </c>
      <c r="C104" s="1" t="s">
        <v>32</v>
      </c>
      <c r="D104" s="1" t="s">
        <v>12</v>
      </c>
      <c r="E104" s="1" t="s">
        <v>34</v>
      </c>
      <c r="F104" s="2">
        <v>45283</v>
      </c>
      <c r="G104">
        <v>3</v>
      </c>
      <c r="H104">
        <v>90</v>
      </c>
      <c r="I104">
        <v>270</v>
      </c>
    </row>
    <row r="105" spans="1:9" x14ac:dyDescent="0.35">
      <c r="A105" s="1" t="s">
        <v>171</v>
      </c>
      <c r="B105" s="1" t="s">
        <v>57</v>
      </c>
      <c r="C105" s="1" t="s">
        <v>11</v>
      </c>
      <c r="D105" s="1" t="s">
        <v>12</v>
      </c>
      <c r="E105" s="1" t="s">
        <v>38</v>
      </c>
      <c r="F105" s="2">
        <v>45332</v>
      </c>
      <c r="G105">
        <v>10</v>
      </c>
      <c r="H105">
        <v>25</v>
      </c>
      <c r="I105">
        <v>250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5A6E-5C49-4306-9CF6-0BAA664BCC52}">
  <dimension ref="A1:Z19"/>
  <sheetViews>
    <sheetView topLeftCell="Q7" workbookViewId="0">
      <selection activeCell="Z13" sqref="Z13"/>
    </sheetView>
  </sheetViews>
  <sheetFormatPr defaultRowHeight="14.5" x14ac:dyDescent="0.35"/>
  <cols>
    <col min="1" max="1" width="17.1640625" bestFit="1" customWidth="1"/>
    <col min="2" max="2" width="15.4140625" bestFit="1" customWidth="1"/>
    <col min="3" max="4" width="11" bestFit="1" customWidth="1"/>
    <col min="5" max="5" width="7.4140625" customWidth="1"/>
    <col min="6" max="6" width="9.75" style="4" customWidth="1"/>
    <col min="7" max="7" width="9" customWidth="1"/>
    <col min="8" max="8" width="12.58203125" bestFit="1" customWidth="1"/>
    <col min="9" max="9" width="17.1640625" bestFit="1" customWidth="1"/>
    <col min="10" max="10" width="11.1640625" customWidth="1"/>
    <col min="11" max="11" width="8" style="4" customWidth="1"/>
    <col min="12" max="12" width="12.58203125" bestFit="1" customWidth="1"/>
    <col min="13" max="13" width="10.4140625" bestFit="1" customWidth="1"/>
    <col min="14" max="15" width="16.58203125" customWidth="1"/>
    <col min="16" max="16" width="9.25" style="4" customWidth="1"/>
    <col min="17" max="17" width="18.4140625" bestFit="1" customWidth="1"/>
    <col min="18" max="18" width="17.1640625" bestFit="1" customWidth="1"/>
    <col min="19" max="19" width="16.58203125" customWidth="1"/>
    <col min="20" max="20" width="16.58203125" style="6" customWidth="1"/>
    <col min="21" max="21" width="7.4140625" bestFit="1" customWidth="1"/>
    <col min="22" max="23" width="10.1640625" bestFit="1" customWidth="1"/>
    <col min="24" max="24" width="12.58203125" bestFit="1" customWidth="1"/>
    <col min="25" max="25" width="9.9140625" style="8" customWidth="1"/>
    <col min="26" max="95" width="16.58203125" customWidth="1"/>
    <col min="96" max="96" width="11.6640625" customWidth="1"/>
  </cols>
  <sheetData>
    <row r="1" spans="1:26" x14ac:dyDescent="0.35">
      <c r="A1" s="3" t="s">
        <v>185</v>
      </c>
      <c r="B1" s="3" t="s">
        <v>172</v>
      </c>
    </row>
    <row r="2" spans="1:26" x14ac:dyDescent="0.35">
      <c r="B2" t="s">
        <v>190</v>
      </c>
      <c r="C2" t="s">
        <v>173</v>
      </c>
      <c r="H2" s="3" t="s">
        <v>186</v>
      </c>
      <c r="I2" t="s">
        <v>185</v>
      </c>
      <c r="L2" s="3" t="s">
        <v>186</v>
      </c>
      <c r="M2" t="s">
        <v>187</v>
      </c>
      <c r="Q2" s="3" t="s">
        <v>186</v>
      </c>
      <c r="R2" t="s">
        <v>185</v>
      </c>
    </row>
    <row r="3" spans="1:26" x14ac:dyDescent="0.35">
      <c r="A3" s="3" t="s">
        <v>186</v>
      </c>
      <c r="H3" s="5" t="s">
        <v>23</v>
      </c>
      <c r="I3" s="1">
        <v>46285</v>
      </c>
      <c r="L3" s="5" t="s">
        <v>17</v>
      </c>
      <c r="M3" s="1">
        <v>64</v>
      </c>
      <c r="Q3" s="5" t="s">
        <v>20</v>
      </c>
      <c r="R3" s="1">
        <v>19681</v>
      </c>
    </row>
    <row r="4" spans="1:26" x14ac:dyDescent="0.35">
      <c r="A4" s="5" t="s">
        <v>191</v>
      </c>
      <c r="B4" s="1">
        <v>10041</v>
      </c>
      <c r="C4" s="1">
        <v>10041</v>
      </c>
      <c r="H4" s="5" t="s">
        <v>12</v>
      </c>
      <c r="I4" s="1">
        <v>56148</v>
      </c>
      <c r="L4" s="5" t="s">
        <v>13</v>
      </c>
      <c r="M4" s="1">
        <v>84</v>
      </c>
      <c r="Q4" s="5" t="s">
        <v>16</v>
      </c>
      <c r="R4" s="1">
        <v>75597</v>
      </c>
    </row>
    <row r="5" spans="1:26" x14ac:dyDescent="0.35">
      <c r="A5" s="5" t="s">
        <v>174</v>
      </c>
      <c r="B5" s="1">
        <v>10364</v>
      </c>
      <c r="C5" s="1">
        <v>10364</v>
      </c>
      <c r="H5" s="5" t="s">
        <v>173</v>
      </c>
      <c r="I5" s="1">
        <v>102433</v>
      </c>
      <c r="L5" s="5" t="s">
        <v>34</v>
      </c>
      <c r="M5" s="1">
        <v>73</v>
      </c>
      <c r="Q5" s="5" t="s">
        <v>32</v>
      </c>
      <c r="R5" s="1">
        <v>4810</v>
      </c>
    </row>
    <row r="6" spans="1:26" x14ac:dyDescent="0.35">
      <c r="A6" s="5" t="s">
        <v>175</v>
      </c>
      <c r="B6" s="1">
        <v>18322</v>
      </c>
      <c r="C6" s="1">
        <v>18322</v>
      </c>
      <c r="L6" s="5" t="s">
        <v>38</v>
      </c>
      <c r="M6" s="1">
        <v>88</v>
      </c>
      <c r="Q6" s="5" t="s">
        <v>11</v>
      </c>
      <c r="R6" s="1">
        <v>2345</v>
      </c>
    </row>
    <row r="7" spans="1:26" x14ac:dyDescent="0.35">
      <c r="A7" s="5" t="s">
        <v>176</v>
      </c>
      <c r="B7" s="1">
        <v>3276</v>
      </c>
      <c r="C7" s="1">
        <v>3276</v>
      </c>
      <c r="L7" s="5" t="s">
        <v>173</v>
      </c>
      <c r="M7" s="1">
        <v>309</v>
      </c>
      <c r="Q7" s="5" t="s">
        <v>173</v>
      </c>
      <c r="R7" s="1">
        <v>102433</v>
      </c>
    </row>
    <row r="8" spans="1:26" x14ac:dyDescent="0.35">
      <c r="A8" s="5" t="s">
        <v>177</v>
      </c>
      <c r="B8" s="1">
        <v>3666</v>
      </c>
      <c r="C8" s="1">
        <v>3666</v>
      </c>
    </row>
    <row r="9" spans="1:26" x14ac:dyDescent="0.35">
      <c r="A9" s="5" t="s">
        <v>178</v>
      </c>
      <c r="B9" s="1">
        <v>7872</v>
      </c>
      <c r="C9" s="1">
        <v>7872</v>
      </c>
    </row>
    <row r="10" spans="1:26" x14ac:dyDescent="0.35">
      <c r="A10" s="5" t="s">
        <v>179</v>
      </c>
      <c r="B10" s="1">
        <v>1132</v>
      </c>
      <c r="C10" s="1">
        <v>1132</v>
      </c>
      <c r="U10" t="s">
        <v>188</v>
      </c>
    </row>
    <row r="11" spans="1:26" x14ac:dyDescent="0.35">
      <c r="A11" s="5" t="s">
        <v>180</v>
      </c>
      <c r="B11" s="1">
        <v>20121</v>
      </c>
      <c r="C11" s="1">
        <v>20121</v>
      </c>
      <c r="U11" s="10">
        <v>199277</v>
      </c>
      <c r="X11" s="7"/>
    </row>
    <row r="12" spans="1:26" x14ac:dyDescent="0.35">
      <c r="A12" s="5" t="s">
        <v>181</v>
      </c>
      <c r="B12" s="1">
        <v>1667</v>
      </c>
      <c r="C12" s="1">
        <v>1667</v>
      </c>
      <c r="Z12" s="9"/>
    </row>
    <row r="13" spans="1:26" x14ac:dyDescent="0.35">
      <c r="A13" s="5" t="s">
        <v>182</v>
      </c>
      <c r="B13" s="1">
        <v>3640</v>
      </c>
      <c r="C13" s="1">
        <v>3640</v>
      </c>
      <c r="X13" s="3" t="s">
        <v>186</v>
      </c>
      <c r="Z13" s="10">
        <v>199277</v>
      </c>
    </row>
    <row r="14" spans="1:26" x14ac:dyDescent="0.35">
      <c r="A14" s="5" t="s">
        <v>183</v>
      </c>
      <c r="B14" s="1">
        <v>11518</v>
      </c>
      <c r="C14" s="1">
        <v>11518</v>
      </c>
      <c r="X14" s="5" t="s">
        <v>17</v>
      </c>
    </row>
    <row r="15" spans="1:26" x14ac:dyDescent="0.35">
      <c r="A15" s="5" t="s">
        <v>184</v>
      </c>
      <c r="B15" s="1">
        <v>10814</v>
      </c>
      <c r="C15" s="1">
        <v>10814</v>
      </c>
      <c r="X15" s="5" t="s">
        <v>13</v>
      </c>
    </row>
    <row r="16" spans="1:26" x14ac:dyDescent="0.35">
      <c r="A16" s="5" t="s">
        <v>173</v>
      </c>
      <c r="B16" s="1">
        <v>102433</v>
      </c>
      <c r="C16" s="1">
        <v>102433</v>
      </c>
      <c r="X16" s="5" t="s">
        <v>34</v>
      </c>
    </row>
    <row r="17" spans="24:24" x14ac:dyDescent="0.35">
      <c r="X17" s="5" t="s">
        <v>38</v>
      </c>
    </row>
    <row r="18" spans="24:24" x14ac:dyDescent="0.35">
      <c r="X18" s="5" t="s">
        <v>189</v>
      </c>
    </row>
    <row r="19" spans="24:24" x14ac:dyDescent="0.35">
      <c r="X19" s="5" t="s">
        <v>173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EEA7-F389-4893-9B80-EEE67353B62C}">
  <sheetPr>
    <tabColor theme="4" tint="-0.249977111117893"/>
  </sheetPr>
  <dimension ref="A1"/>
  <sheetViews>
    <sheetView showGridLines="0" showRowColHeaders="0" tabSelected="1" zoomScale="58" zoomScaleNormal="58" workbookViewId="0"/>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8D24859-55A7-4DC1-9CD5-28B587A32B46}">
  <ds:schemaRefs/>
</ds:datastoreItem>
</file>

<file path=customXml/itemProps2.xml><?xml version="1.0" encoding="utf-8"?>
<ds:datastoreItem xmlns:ds="http://schemas.openxmlformats.org/officeDocument/2006/customXml" ds:itemID="{45125C67-5759-4BAA-AEE2-E9E023ED4FA6}">
  <ds:schemaRefs/>
</ds:datastoreItem>
</file>

<file path=customXml/itemProps3.xml><?xml version="1.0" encoding="utf-8"?>
<ds:datastoreItem xmlns:ds="http://schemas.openxmlformats.org/officeDocument/2006/customXml" ds:itemID="{404C8235-5292-4C79-AE09-B0B94AE9ABD0}">
  <ds:schemaRefs/>
</ds:datastoreItem>
</file>

<file path=customXml/itemProps4.xml><?xml version="1.0" encoding="utf-8"?>
<ds:datastoreItem xmlns:ds="http://schemas.openxmlformats.org/officeDocument/2006/customXml" ds:itemID="{DE653570-F8BA-4C17-93EC-9EE96F061D12}">
  <ds:schemaRefs/>
</ds:datastoreItem>
</file>

<file path=customXml/itemProps5.xml><?xml version="1.0" encoding="utf-8"?>
<ds:datastoreItem xmlns:ds="http://schemas.openxmlformats.org/officeDocument/2006/customXml" ds:itemID="{8F4F1A08-EC73-451A-800F-14BFE446B673}">
  <ds:schemaRefs/>
</ds:datastoreItem>
</file>

<file path=customXml/itemProps6.xml><?xml version="1.0" encoding="utf-8"?>
<ds:datastoreItem xmlns:ds="http://schemas.openxmlformats.org/officeDocument/2006/customXml" ds:itemID="{877BED4F-0D86-4A5B-BD33-4E456E3A715F}">
  <ds:schemaRefs/>
</ds:datastoreItem>
</file>

<file path=customXml/itemProps7.xml><?xml version="1.0" encoding="utf-8"?>
<ds:datastoreItem xmlns:ds="http://schemas.openxmlformats.org/officeDocument/2006/customXml" ds:itemID="{3A414C9D-5A5C-4CAB-A491-AD25793E292C}">
  <ds:schemaRefs/>
</ds:datastoreItem>
</file>

<file path=customXml/itemProps8.xml><?xml version="1.0" encoding="utf-8"?>
<ds:datastoreItem xmlns:ds="http://schemas.openxmlformats.org/officeDocument/2006/customXml" ds:itemID="{64FA8EC1-F68B-4BB4-AC0D-93794E2CF2C0}">
  <ds:schemaRefs/>
</ds:datastoreItem>
</file>

<file path=customXml/itemProps9.xml><?xml version="1.0" encoding="utf-8"?>
<ds:datastoreItem xmlns:ds="http://schemas.openxmlformats.org/officeDocument/2006/customXml" ds:itemID="{776BB22D-C625-488E-ADEF-529749EF8A05}">
  <ds:schemaRefs/>
</ds:datastoreItem>
</file>

<file path=customXml/itemProps10.xml><?xml version="1.0" encoding="utf-8"?>
<ds:datastoreItem xmlns:ds="http://schemas.openxmlformats.org/officeDocument/2006/customXml" ds:itemID="{D846C9B6-0B97-434F-9F31-60CB3E8069BF}">
  <ds:schemaRefs/>
</ds:datastoreItem>
</file>

<file path=customXml/itemProps11.xml><?xml version="1.0" encoding="utf-8"?>
<ds:datastoreItem xmlns:ds="http://schemas.openxmlformats.org/officeDocument/2006/customXml" ds:itemID="{9ADEF2FF-9DDF-4AD3-A89D-D770812EE995}">
  <ds:schemaRefs/>
</ds:datastoreItem>
</file>

<file path=customXml/itemProps12.xml><?xml version="1.0" encoding="utf-8"?>
<ds:datastoreItem xmlns:ds="http://schemas.openxmlformats.org/officeDocument/2006/customXml" ds:itemID="{D74A6FF5-3E67-4578-B858-C7555A320AA5}">
  <ds:schemaRefs/>
</ds:datastoreItem>
</file>

<file path=customXml/itemProps13.xml><?xml version="1.0" encoding="utf-8"?>
<ds:datastoreItem xmlns:ds="http://schemas.openxmlformats.org/officeDocument/2006/customXml" ds:itemID="{39A53E18-113D-4F5E-8EA7-C5EDBD796AB1}">
  <ds:schemaRefs>
    <ds:schemaRef ds:uri="http://schemas.microsoft.com/DataMashup"/>
  </ds:schemaRefs>
</ds:datastoreItem>
</file>

<file path=customXml/itemProps14.xml><?xml version="1.0" encoding="utf-8"?>
<ds:datastoreItem xmlns:ds="http://schemas.openxmlformats.org/officeDocument/2006/customXml" ds:itemID="{2F72DCA9-3E2A-44D2-BBD4-6E1417267F4C}">
  <ds:schemaRefs/>
</ds:datastoreItem>
</file>

<file path=customXml/itemProps15.xml><?xml version="1.0" encoding="utf-8"?>
<ds:datastoreItem xmlns:ds="http://schemas.openxmlformats.org/officeDocument/2006/customXml" ds:itemID="{93B6B91D-B501-4EF6-9E57-9A4D7039C825}">
  <ds:schemaRefs/>
</ds:datastoreItem>
</file>

<file path=customXml/itemProps16.xml><?xml version="1.0" encoding="utf-8"?>
<ds:datastoreItem xmlns:ds="http://schemas.openxmlformats.org/officeDocument/2006/customXml" ds:itemID="{3CB4DC9D-56F4-471D-924C-72EAAE713711}">
  <ds:schemaRefs/>
</ds:datastoreItem>
</file>

<file path=customXml/itemProps17.xml><?xml version="1.0" encoding="utf-8"?>
<ds:datastoreItem xmlns:ds="http://schemas.openxmlformats.org/officeDocument/2006/customXml" ds:itemID="{2C7A4F5A-2A18-4024-A332-73D5363738FC}">
  <ds:schemaRefs/>
</ds:datastoreItem>
</file>

<file path=customXml/itemProps18.xml><?xml version="1.0" encoding="utf-8"?>
<ds:datastoreItem xmlns:ds="http://schemas.openxmlformats.org/officeDocument/2006/customXml" ds:itemID="{4967964E-602D-423C-997D-31C9C1756F5B}">
  <ds:schemaRefs/>
</ds:datastoreItem>
</file>

<file path=customXml/itemProps19.xml><?xml version="1.0" encoding="utf-8"?>
<ds:datastoreItem xmlns:ds="http://schemas.openxmlformats.org/officeDocument/2006/customXml" ds:itemID="{273AF455-7D5A-47DC-89B1-F1D40F30C876}">
  <ds:schemaRefs/>
</ds:datastoreItem>
</file>

<file path=customXml/itemProps20.xml><?xml version="1.0" encoding="utf-8"?>
<ds:datastoreItem xmlns:ds="http://schemas.openxmlformats.org/officeDocument/2006/customXml" ds:itemID="{1C8B0096-2CA8-406B-8A8C-882C70FC5250}">
  <ds:schemaRefs/>
</ds:datastoreItem>
</file>

<file path=customXml/itemProps21.xml><?xml version="1.0" encoding="utf-8"?>
<ds:datastoreItem xmlns:ds="http://schemas.openxmlformats.org/officeDocument/2006/customXml" ds:itemID="{20AA6C18-E948-4623-9A9E-8C348C6B4BF7}">
  <ds:schemaRefs/>
</ds:datastoreItem>
</file>

<file path=customXml/itemProps22.xml><?xml version="1.0" encoding="utf-8"?>
<ds:datastoreItem xmlns:ds="http://schemas.openxmlformats.org/officeDocument/2006/customXml" ds:itemID="{EF8A3ADA-85C0-4181-95A0-625C84037BF6}">
  <ds:schemaRefs/>
</ds:datastoreItem>
</file>

<file path=customXml/itemProps23.xml><?xml version="1.0" encoding="utf-8"?>
<ds:datastoreItem xmlns:ds="http://schemas.openxmlformats.org/officeDocument/2006/customXml" ds:itemID="{7F4D26B1-1A5F-4999-9EB3-4DAA21B4AE90}">
  <ds:schemaRefs/>
</ds:datastoreItem>
</file>

<file path=customXml/itemProps24.xml><?xml version="1.0" encoding="utf-8"?>
<ds:datastoreItem xmlns:ds="http://schemas.openxmlformats.org/officeDocument/2006/customXml" ds:itemID="{23B2D475-AD42-4D9B-854A-D699E23798BB}">
  <ds:schemaRefs/>
</ds:datastoreItem>
</file>

<file path=customXml/itemProps25.xml><?xml version="1.0" encoding="utf-8"?>
<ds:datastoreItem xmlns:ds="http://schemas.openxmlformats.org/officeDocument/2006/customXml" ds:itemID="{F916BCD4-725E-4309-B6C5-72D7D82BA5EF}">
  <ds:schemaRefs/>
</ds:datastoreItem>
</file>

<file path=customXml/itemProps26.xml><?xml version="1.0" encoding="utf-8"?>
<ds:datastoreItem xmlns:ds="http://schemas.openxmlformats.org/officeDocument/2006/customXml" ds:itemID="{94EA8110-D14E-49B2-9E9C-03CBC92D0B61}">
  <ds:schemaRefs/>
</ds:datastoreItem>
</file>

<file path=customXml/itemProps27.xml><?xml version="1.0" encoding="utf-8"?>
<ds:datastoreItem xmlns:ds="http://schemas.openxmlformats.org/officeDocument/2006/customXml" ds:itemID="{94D9F3CF-F317-44AC-AB41-CF11E9339F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Sales_Region</vt:lpstr>
      <vt:lpstr>Raw_Sales_Data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Adel</dc:creator>
  <cp:lastModifiedBy>Amira Adel</cp:lastModifiedBy>
  <dcterms:created xsi:type="dcterms:W3CDTF">2026-09-08T16:18:03Z</dcterms:created>
  <dcterms:modified xsi:type="dcterms:W3CDTF">2026-09-13T15:43:17Z</dcterms:modified>
</cp:coreProperties>
</file>